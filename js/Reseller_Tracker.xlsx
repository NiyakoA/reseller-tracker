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📦 Purchases" sheetId="1" r:id="rId5"/>
    <sheet state="visible" name="💵 Sales" sheetId="2" r:id="rId6"/>
    <sheet state="visible" name="📋 Inventory" sheetId="3" r:id="rId7"/>
    <sheet state="visible" name="📊 Dashboard" sheetId="4" r:id="rId8"/>
    <sheet state="visible" name="📅 Monthly Breakdown" sheetId="5" r:id="rId9"/>
    <sheet state="visible" name="💸 Overhead Expenses" sheetId="6" r:id="rId10"/>
  </sheets>
  <definedNames/>
  <calcPr/>
</workbook>
</file>

<file path=xl/sharedStrings.xml><?xml version="1.0" encoding="utf-8"?>
<sst xmlns="http://schemas.openxmlformats.org/spreadsheetml/2006/main" count="266" uniqueCount="161">
  <si>
    <t>Track every item you buy to resell  •  Blue cells = your input  •  Formulas auto-calculate</t>
  </si>
  <si>
    <t>#</t>
  </si>
  <si>
    <t>Date Bought</t>
  </si>
  <si>
    <t>Product Name</t>
  </si>
  <si>
    <t>Category</t>
  </si>
  <si>
    <t>Qty Bought</t>
  </si>
  <si>
    <t>Unit Cost ($)</t>
  </si>
  <si>
    <t>Total Cost ($)</t>
  </si>
  <si>
    <t>Store / Source</t>
  </si>
  <si>
    <t>Purchase Method</t>
  </si>
  <si>
    <t>Item ID / SKU</t>
  </si>
  <si>
    <t>Condition</t>
  </si>
  <si>
    <t>Notes</t>
  </si>
  <si>
    <t>Prismatic Evolution ETB</t>
  </si>
  <si>
    <t>Pokemon</t>
  </si>
  <si>
    <t>Bestbuy</t>
  </si>
  <si>
    <t>Manual</t>
  </si>
  <si>
    <t>ETB-PE</t>
  </si>
  <si>
    <t>New</t>
  </si>
  <si>
    <t>Ascended Heroes BB</t>
  </si>
  <si>
    <t>Target</t>
  </si>
  <si>
    <t>ACO</t>
  </si>
  <si>
    <t>BB-AH</t>
  </si>
  <si>
    <t>Ascended Heroes Ex box</t>
  </si>
  <si>
    <t>Costco</t>
  </si>
  <si>
    <t>EX-AH</t>
  </si>
  <si>
    <t>Ascended Heroes ETB</t>
  </si>
  <si>
    <t>Vending</t>
  </si>
  <si>
    <t>ETB-AH</t>
  </si>
  <si>
    <t>Chaos Rising PKC ETB</t>
  </si>
  <si>
    <t>PKC</t>
  </si>
  <si>
    <t>PKCETB-CR</t>
  </si>
  <si>
    <t>Chaos Rising BB</t>
  </si>
  <si>
    <t>BB-CR</t>
  </si>
  <si>
    <t xml:space="preserve">Chaos Rising Booster display </t>
  </si>
  <si>
    <t>BD-CR</t>
  </si>
  <si>
    <t>Ascended heroes poster</t>
  </si>
  <si>
    <t>Walmart</t>
  </si>
  <si>
    <t>Refract</t>
  </si>
  <si>
    <t>PO-AH</t>
  </si>
  <si>
    <t>First Partner illustration</t>
  </si>
  <si>
    <t>FPI</t>
  </si>
  <si>
    <t>Congratulation Set (W)</t>
  </si>
  <si>
    <t>Coins</t>
  </si>
  <si>
    <t>U.S Mint</t>
  </si>
  <si>
    <t>CSW</t>
  </si>
  <si>
    <t>TOTAL PURCHASE COST</t>
  </si>
  <si>
    <t>💡  LEGEND:  Blue text = your input   |   Black text = auto-calculated   |   Purchase Methods: Cash · Card · PayPal · Venmo · Zelle · Check · Other</t>
  </si>
  <si>
    <t>w</t>
  </si>
  <si>
    <t>Track every item you sell  •  Blue cells = your input  •  Profit columns auto-calculate from Purchase Log</t>
  </si>
  <si>
    <t>Date Sold</t>
  </si>
  <si>
    <t>Qty Sold</t>
  </si>
  <si>
    <t>Sale Price/Unit ($)</t>
  </si>
  <si>
    <t>Gross Revenue ($)</t>
  </si>
  <si>
    <t>Sold On / Platform</t>
  </si>
  <si>
    <t>Sale Method</t>
  </si>
  <si>
    <t>Net Profit ($)</t>
  </si>
  <si>
    <t>Margin %</t>
  </si>
  <si>
    <t>Marketplace</t>
  </si>
  <si>
    <t>Zelle</t>
  </si>
  <si>
    <t>Tradepost</t>
  </si>
  <si>
    <t>Direct Deposit</t>
  </si>
  <si>
    <t>AH booster packs</t>
  </si>
  <si>
    <t>AH-BP</t>
  </si>
  <si>
    <t>AH-BB</t>
  </si>
  <si>
    <t>TOTALS</t>
  </si>
  <si>
    <t>💡  Platforms: eBay · Facebook Marketplace · Mercari · OfferUp · Poshmark · Depop · Amazon · Etsy · In-Person · Other   |   Sale Methods: Cash · Card · PayPal · Venmo · Zelle</t>
  </si>
  <si>
    <t>📋  INVENTORY TRACKER  —  What You Still Have</t>
  </si>
  <si>
    <t>Track unsold inventory  •  Enter Item ID to link back to Purchase Log</t>
  </si>
  <si>
    <t>Qty in Stock</t>
  </si>
  <si>
    <t>Value in Stock ($)</t>
  </si>
  <si>
    <t>Listed?</t>
  </si>
  <si>
    <t>No</t>
  </si>
  <si>
    <t>BROKE DOWN</t>
  </si>
  <si>
    <t>Chaos Rising booster display</t>
  </si>
  <si>
    <t>Yes</t>
  </si>
  <si>
    <t>5 sold 05/03/2026</t>
  </si>
  <si>
    <t>TOTAL INVENTORY VALUE</t>
  </si>
  <si>
    <t>📊  RESELLER DASHBOARD  —  Your Business At a Glance</t>
  </si>
  <si>
    <t>💰  REVENUE &amp; COST SUMMARY</t>
  </si>
  <si>
    <t>Total Gross Revenue (All Sales)</t>
  </si>
  <si>
    <t>Total Purchase Cost (All Buys)</t>
  </si>
  <si>
    <t>Total COGS (from Sales Log)</t>
  </si>
  <si>
    <t>📈  PROFIT SUMMARY</t>
  </si>
  <si>
    <t>Gross Profit  (Revenue − COGS)</t>
  </si>
  <si>
    <t>Net Profit  (After All Costs)</t>
  </si>
  <si>
    <t>Average Profit Margin %</t>
  </si>
  <si>
    <t>ROI  (Net Profit ÷ Purchase Cost)</t>
  </si>
  <si>
    <t>📋  INVENTORY SNAPSHOT</t>
  </si>
  <si>
    <t>Current Inventory Value</t>
  </si>
  <si>
    <t>Total Items Purchased</t>
  </si>
  <si>
    <t>Total Items Sold</t>
  </si>
  <si>
    <t>💸  OVERHEAD EXPENSES</t>
  </si>
  <si>
    <t>Total Overhead Expenses</t>
  </si>
  <si>
    <t>True Net (Profit - Overhead)</t>
  </si>
  <si>
    <t>💡  HOW TO USE THIS TRACKER</t>
  </si>
  <si>
    <t>📦 Purchases sheet</t>
  </si>
  <si>
    <t>Log every item you buy: date, product, qty, unit cost, store &amp; payment method</t>
  </si>
  <si>
    <t>💵 Sales sheet</t>
  </si>
  <si>
    <t>Log every sale: date sold, product, qty, sale price, platform &amp; payment method</t>
  </si>
  <si>
    <t>📋 Inventory sheet</t>
  </si>
  <si>
    <t>Track unsold stock — update qty as items sell</t>
  </si>
  <si>
    <t>💸 Overhead Expenses</t>
  </si>
  <si>
    <t>Log non-product costs: fees, supplies, storage, ads, subscriptions, etc.</t>
  </si>
  <si>
    <t>📅 Monthly Breakdown</t>
  </si>
  <si>
    <t>See revenue, profit &amp; overhead broken out by month with a year filter</t>
  </si>
  <si>
    <t>📊 Dashboard</t>
  </si>
  <si>
    <t>All totals auto-calculate — no manual entry needed here</t>
  </si>
  <si>
    <t>Use a consistent ID (e.g. SHOES-001) across all sheets to link records</t>
  </si>
  <si>
    <t xml:space="preserve">  </t>
  </si>
  <si>
    <t>Auto-calculated from Sales Log  •  All figures pull live from 💵 Sales sheet</t>
  </si>
  <si>
    <t>Year Filter:</t>
  </si>
  <si>
    <t>← Type a year (e.g. 2025) to filter by year, or leave blank for all years</t>
  </si>
  <si>
    <t>Metric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</si>
  <si>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</si>
  <si>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</si>
  <si>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</si>
  <si>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</si>
  <si>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</si>
  <si>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</si>
  <si>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</si>
  <si>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</si>
  <si>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</si>
  <si>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</si>
  <si>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</si>
  <si>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</si>
  <si>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 TOTAL</t>
  </si>
  <si>
    <t>💰 Gross Revenue ($)</t>
  </si>
  <si>
    <t>🏭 Total Cost ($)</t>
  </si>
  <si>
    <t>📈 Net Profit ($)</t>
  </si>
  <si>
    <t>📐 Profit Margin %</t>
  </si>
  <si>
    <t>📦 Units Sold</t>
  </si>
  <si>
    <t>📦  MONTHLY PURCHASES</t>
  </si>
  <si>
    <t>🛒 Total Spent on Purchases ($)</t>
  </si>
  <si>
    <t>💸  MONTHLY OVERHEAD EXPENSES  (Non-Product Costs)</t>
  </si>
  <si>
    <t>🧾 Total Overhead Expenses ($)</t>
  </si>
  <si>
    <t>✅ True Net (Profit − Overhead)</t>
  </si>
  <si>
    <t>💹 Net Cash Flow (Profit − Purchases − Overhead)</t>
  </si>
  <si>
    <t>💸  OVERHEAD EXPENSES  —  Non-Product Monthly Costs</t>
  </si>
  <si>
    <t>Log recurring business costs NOT tied to specific products  e.g. platform fees, shipping supplies, storage, ads, tools</t>
  </si>
  <si>
    <t>Date</t>
  </si>
  <si>
    <t>Expense Name</t>
  </si>
  <si>
    <t>Amount ($)</t>
  </si>
  <si>
    <t>Payment Method</t>
  </si>
  <si>
    <t>Recurring?</t>
  </si>
  <si>
    <t>Bot</t>
  </si>
  <si>
    <t xml:space="preserve">SMS </t>
  </si>
  <si>
    <t>sms</t>
  </si>
  <si>
    <t>Business Gold</t>
  </si>
  <si>
    <t>Proxies</t>
  </si>
  <si>
    <t>Proxy</t>
  </si>
  <si>
    <t>Combined</t>
  </si>
  <si>
    <t>AYCD</t>
  </si>
  <si>
    <t>Profile builder</t>
  </si>
  <si>
    <t>Unknown Collectors</t>
  </si>
  <si>
    <t>Whop/Cord Group</t>
  </si>
  <si>
    <t>Flips University</t>
  </si>
  <si>
    <t>Server</t>
  </si>
  <si>
    <t>Zelle/apple pay</t>
  </si>
  <si>
    <t>TOTAL OVERHEAD</t>
  </si>
  <si>
    <t>💡  Example categories: eBay Fees  ·  PayPal Fees  ·  Shipping Supplies  ·  Bubble Wrap / Boxes  ·  Storage Unit  ·  Printer Ink  ·  Listing Software  ·  Facebook Ads  ·  Gas / Mileage  ·  Phone Bill  ·  Internet  ·  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</si>
</sst>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;(#,##0);&quot;-&quot;"/>
    <numFmt numFmtId="165" formatCode="MM/DD/YYYY"/>
    <numFmt numFmtId="166" formatCode="$#,##0.00;($#,##0.00);&quot;-&quot;"/>
    <numFmt numFmtId="167" formatCode="0.0%;(0.0%);&quot;-&quot;"/>
    <numFmt numFmtId="168" formatCode="mm/dd/yyyy"/>
  </numFmts>
  <fonts count="18">
    <font>
      <sz val="11.0"/>
      <color theme="1"/>
      <name val="Calibri"/>
      <scheme val="minor"/>
    </font>
    <font>
      <b/>
      <sz val="15.0"/>
      <color rgb="FFFFFFFF"/>
      <name val="Arial"/>
    </font>
    <font/>
    <font>
      <sz val="9.0"/>
      <color rgb="FF1B4F8A"/>
      <name val="Arial"/>
    </font>
    <font>
      <b/>
      <sz val="10.0"/>
      <color rgb="FFFFFFFF"/>
      <name val="Arial"/>
    </font>
    <font>
      <sz val="10.0"/>
      <color rgb="FF888888"/>
      <name val="Arial"/>
    </font>
    <font>
      <sz val="10.0"/>
      <color rgb="FF0000FF"/>
      <name val="Arial"/>
    </font>
    <font>
      <sz val="10.0"/>
      <color rgb="FF000000"/>
      <name val="Arial"/>
    </font>
    <font>
      <sz val="12.0"/>
      <color theme="1"/>
      <name val="Arial"/>
    </font>
    <font>
      <b/>
      <sz val="11.0"/>
      <color rgb="FFFFFFFF"/>
      <name val="Arial"/>
    </font>
    <font>
      <sz val="9.0"/>
      <color rgb="FF1A5C38"/>
      <name val="Arial"/>
    </font>
    <font>
      <sz val="9.0"/>
      <color rgb="FF4A235A"/>
      <name val="Arial"/>
    </font>
    <font>
      <b/>
      <sz val="12.0"/>
      <color rgb="FFFFFFFF"/>
      <name val="Arial"/>
    </font>
    <font>
      <b/>
      <sz val="11.0"/>
      <color rgb="FF000000"/>
      <name val="Arial"/>
    </font>
    <font>
      <sz val="9.0"/>
      <color rgb="FF0E6655"/>
      <name val="Arial"/>
    </font>
    <font>
      <sz val="11.0"/>
      <color rgb="FF0000FF"/>
      <name val="Arial"/>
    </font>
    <font>
      <sz val="9.0"/>
      <color rgb="FF595959"/>
      <name val="Arial"/>
    </font>
    <font>
      <sz val="9.0"/>
      <color rgb="FF784212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D6E4F7"/>
        <bgColor rgb="FFD6E4F7"/>
      </patternFill>
    </fill>
    <fill>
      <patternFill patternType="solid">
        <fgColor rgb="FF1B4F8A"/>
        <bgColor rgb="FF1B4F8A"/>
      </patternFill>
    </fill>
    <fill>
      <patternFill patternType="solid">
        <fgColor rgb="FFF4F6F7"/>
        <bgColor rgb="FFF4F6F7"/>
      </patternFill>
    </fill>
    <fill>
      <patternFill patternType="solid">
        <fgColor rgb="FFFFFFFF"/>
        <bgColor rgb="FFFFFFFF"/>
      </patternFill>
    </fill>
    <fill>
      <patternFill patternType="solid">
        <fgColor rgb="FF1A5C38"/>
        <bgColor rgb="FF1A5C38"/>
      </patternFill>
    </fill>
    <fill>
      <patternFill patternType="solid">
        <fgColor rgb="FFD4EDDA"/>
        <bgColor rgb="FFD4EDDA"/>
      </patternFill>
    </fill>
    <fill>
      <patternFill patternType="solid">
        <fgColor rgb="FF4A235A"/>
        <bgColor rgb="FF4A235A"/>
      </patternFill>
    </fill>
    <fill>
      <patternFill patternType="solid">
        <fgColor rgb="FFEAD9F5"/>
        <bgColor rgb="FFEAD9F5"/>
      </patternFill>
    </fill>
    <fill>
      <patternFill patternType="solid">
        <fgColor rgb="FF922B21"/>
        <bgColor rgb="FF922B21"/>
      </patternFill>
    </fill>
    <fill>
      <patternFill patternType="solid">
        <fgColor rgb="FFFADBD8"/>
        <bgColor rgb="FFFADBD8"/>
      </patternFill>
    </fill>
    <fill>
      <patternFill patternType="solid">
        <fgColor rgb="FF784212"/>
        <bgColor rgb="FF784212"/>
      </patternFill>
    </fill>
    <fill>
      <patternFill patternType="solid">
        <fgColor rgb="FFFDEBD0"/>
        <bgColor rgb="FFFDEBD0"/>
      </patternFill>
    </fill>
    <fill>
      <patternFill patternType="solid">
        <fgColor rgb="FF0E6655"/>
        <bgColor rgb="FF0E6655"/>
      </patternFill>
    </fill>
    <fill>
      <patternFill patternType="solid">
        <fgColor rgb="FFD0ECE7"/>
        <bgColor rgb="FFD0ECE7"/>
      </patternFill>
    </fill>
    <fill>
      <patternFill patternType="solid">
        <fgColor rgb="FF2C3E50"/>
        <bgColor rgb="FF2C3E50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4" fillId="4" fontId="4" numFmtId="0" xfId="0" applyAlignment="1" applyBorder="1" applyFill="1" applyFont="1">
      <alignment horizontal="center" vertical="center"/>
    </xf>
    <xf borderId="4" fillId="5" fontId="5" numFmtId="164" xfId="0" applyAlignment="1" applyBorder="1" applyFill="1" applyFont="1" applyNumberFormat="1">
      <alignment horizontal="center" vertical="center"/>
    </xf>
    <xf borderId="4" fillId="5" fontId="6" numFmtId="165" xfId="0" applyAlignment="1" applyBorder="1" applyFont="1" applyNumberFormat="1">
      <alignment horizontal="left" readingOrder="0" vertical="center"/>
    </xf>
    <xf borderId="4" fillId="5" fontId="6" numFmtId="0" xfId="0" applyAlignment="1" applyBorder="1" applyFont="1">
      <alignment horizontal="left" readingOrder="0" vertical="center"/>
    </xf>
    <xf borderId="4" fillId="5" fontId="6" numFmtId="164" xfId="0" applyAlignment="1" applyBorder="1" applyFont="1" applyNumberFormat="1">
      <alignment horizontal="center" readingOrder="0" vertical="center"/>
    </xf>
    <xf borderId="4" fillId="5" fontId="6" numFmtId="166" xfId="0" applyAlignment="1" applyBorder="1" applyFont="1" applyNumberFormat="1">
      <alignment horizontal="left" readingOrder="0" vertical="center"/>
    </xf>
    <xf borderId="4" fillId="5" fontId="7" numFmtId="166" xfId="0" applyAlignment="1" applyBorder="1" applyFont="1" applyNumberFormat="1">
      <alignment horizontal="left" vertical="center"/>
    </xf>
    <xf borderId="4" fillId="5" fontId="6" numFmtId="0" xfId="0" applyAlignment="1" applyBorder="1" applyFont="1">
      <alignment horizontal="left" shrinkToFit="0" vertical="center" wrapText="1"/>
    </xf>
    <xf borderId="4" fillId="6" fontId="5" numFmtId="164" xfId="0" applyAlignment="1" applyBorder="1" applyFill="1" applyFont="1" applyNumberFormat="1">
      <alignment horizontal="center" vertical="center"/>
    </xf>
    <xf borderId="4" fillId="6" fontId="6" numFmtId="165" xfId="0" applyAlignment="1" applyBorder="1" applyFont="1" applyNumberFormat="1">
      <alignment horizontal="left" readingOrder="0" vertical="center"/>
    </xf>
    <xf borderId="4" fillId="6" fontId="6" numFmtId="0" xfId="0" applyAlignment="1" applyBorder="1" applyFont="1">
      <alignment horizontal="left" readingOrder="0" vertical="center"/>
    </xf>
    <xf borderId="4" fillId="6" fontId="6" numFmtId="164" xfId="0" applyAlignment="1" applyBorder="1" applyFont="1" applyNumberFormat="1">
      <alignment horizontal="center" readingOrder="0" vertical="center"/>
    </xf>
    <xf borderId="4" fillId="6" fontId="6" numFmtId="166" xfId="0" applyAlignment="1" applyBorder="1" applyFont="1" applyNumberFormat="1">
      <alignment horizontal="left" readingOrder="0" vertical="center"/>
    </xf>
    <xf borderId="4" fillId="6" fontId="7" numFmtId="166" xfId="0" applyAlignment="1" applyBorder="1" applyFont="1" applyNumberFormat="1">
      <alignment horizontal="left" vertical="center"/>
    </xf>
    <xf borderId="0" fillId="0" fontId="8" numFmtId="0" xfId="0" applyAlignment="1" applyFont="1">
      <alignment horizontal="left" readingOrder="0"/>
    </xf>
    <xf borderId="4" fillId="6" fontId="6" numFmtId="0" xfId="0" applyAlignment="1" applyBorder="1" applyFont="1">
      <alignment horizontal="left" shrinkToFit="0" vertical="center" wrapText="1"/>
    </xf>
    <xf borderId="4" fillId="6" fontId="7" numFmtId="166" xfId="0" applyAlignment="1" applyBorder="1" applyFont="1" applyNumberFormat="1">
      <alignment horizontal="left" readingOrder="0" vertical="center"/>
    </xf>
    <xf borderId="4" fillId="5" fontId="6" numFmtId="165" xfId="0" applyAlignment="1" applyBorder="1" applyFont="1" applyNumberFormat="1">
      <alignment horizontal="left" vertical="center"/>
    </xf>
    <xf borderId="4" fillId="5" fontId="6" numFmtId="0" xfId="0" applyAlignment="1" applyBorder="1" applyFont="1">
      <alignment horizontal="left" vertical="center"/>
    </xf>
    <xf borderId="4" fillId="5" fontId="6" numFmtId="164" xfId="0" applyAlignment="1" applyBorder="1" applyFont="1" applyNumberFormat="1">
      <alignment horizontal="center" vertical="center"/>
    </xf>
    <xf borderId="4" fillId="5" fontId="6" numFmtId="166" xfId="0" applyAlignment="1" applyBorder="1" applyFont="1" applyNumberFormat="1">
      <alignment horizontal="left" vertical="center"/>
    </xf>
    <xf borderId="4" fillId="6" fontId="6" numFmtId="165" xfId="0" applyAlignment="1" applyBorder="1" applyFont="1" applyNumberFormat="1">
      <alignment horizontal="left" vertical="center"/>
    </xf>
    <xf borderId="4" fillId="6" fontId="6" numFmtId="0" xfId="0" applyAlignment="1" applyBorder="1" applyFont="1">
      <alignment horizontal="left" vertical="center"/>
    </xf>
    <xf borderId="4" fillId="6" fontId="6" numFmtId="164" xfId="0" applyAlignment="1" applyBorder="1" applyFont="1" applyNumberFormat="1">
      <alignment horizontal="center" vertical="center"/>
    </xf>
    <xf borderId="4" fillId="6" fontId="6" numFmtId="166" xfId="0" applyAlignment="1" applyBorder="1" applyFont="1" applyNumberFormat="1">
      <alignment horizontal="left" vertical="center"/>
    </xf>
    <xf borderId="4" fillId="5" fontId="6" numFmtId="0" xfId="0" applyAlignment="1" applyBorder="1" applyFont="1">
      <alignment horizontal="left" vertical="center"/>
    </xf>
    <xf borderId="4" fillId="6" fontId="6" numFmtId="0" xfId="0" applyAlignment="1" applyBorder="1" applyFont="1">
      <alignment horizontal="left" vertical="center"/>
    </xf>
    <xf borderId="1" fillId="2" fontId="9" numFmtId="0" xfId="0" applyAlignment="1" applyBorder="1" applyFont="1">
      <alignment horizontal="center" vertical="center"/>
    </xf>
    <xf borderId="4" fillId="2" fontId="9" numFmtId="166" xfId="0" applyAlignment="1" applyBorder="1" applyFont="1" applyNumberFormat="1">
      <alignment horizontal="right" vertical="center"/>
    </xf>
    <xf borderId="4" fillId="2" fontId="7" numFmtId="0" xfId="0" applyAlignment="1" applyBorder="1" applyFont="1">
      <alignment horizontal="left" vertical="center"/>
    </xf>
    <xf borderId="1" fillId="3" fontId="3" numFmtId="0" xfId="0" applyAlignment="1" applyBorder="1" applyFont="1">
      <alignment horizontal="left" vertical="center"/>
    </xf>
    <xf borderId="1" fillId="7" fontId="1" numFmtId="0" xfId="0" applyAlignment="1" applyBorder="1" applyFill="1" applyFont="1">
      <alignment horizontal="center" readingOrder="0" vertical="center"/>
    </xf>
    <xf borderId="1" fillId="8" fontId="10" numFmtId="0" xfId="0" applyAlignment="1" applyBorder="1" applyFill="1" applyFont="1">
      <alignment horizontal="center" vertical="center"/>
    </xf>
    <xf borderId="4" fillId="7" fontId="4" numFmtId="0" xfId="0" applyAlignment="1" applyBorder="1" applyFont="1">
      <alignment horizontal="center" vertical="center"/>
    </xf>
    <xf borderId="4" fillId="5" fontId="7" numFmtId="167" xfId="0" applyAlignment="1" applyBorder="1" applyFont="1" applyNumberFormat="1">
      <alignment horizontal="center" vertical="center"/>
    </xf>
    <xf borderId="4" fillId="6" fontId="7" numFmtId="167" xfId="0" applyAlignment="1" applyBorder="1" applyFont="1" applyNumberFormat="1">
      <alignment horizontal="center" vertical="center"/>
    </xf>
    <xf borderId="4" fillId="5" fontId="6" numFmtId="168" xfId="0" applyAlignment="1" applyBorder="1" applyFont="1" applyNumberFormat="1">
      <alignment horizontal="left" readingOrder="0" vertical="center"/>
    </xf>
    <xf borderId="4" fillId="2" fontId="7" numFmtId="166" xfId="0" applyAlignment="1" applyBorder="1" applyFont="1" applyNumberFormat="1">
      <alignment horizontal="left" vertical="center"/>
    </xf>
    <xf borderId="4" fillId="2" fontId="9" numFmtId="167" xfId="0" applyAlignment="1" applyBorder="1" applyFont="1" applyNumberFormat="1">
      <alignment horizontal="right" vertical="center"/>
    </xf>
    <xf borderId="1" fillId="8" fontId="10" numFmtId="0" xfId="0" applyAlignment="1" applyBorder="1" applyFont="1">
      <alignment horizontal="left" vertical="center"/>
    </xf>
    <xf borderId="1" fillId="9" fontId="1" numFmtId="0" xfId="0" applyAlignment="1" applyBorder="1" applyFill="1" applyFont="1">
      <alignment horizontal="center" vertical="center"/>
    </xf>
    <xf borderId="1" fillId="10" fontId="11" numFmtId="0" xfId="0" applyAlignment="1" applyBorder="1" applyFill="1" applyFont="1">
      <alignment horizontal="center" vertical="center"/>
    </xf>
    <xf borderId="4" fillId="9" fontId="4" numFmtId="0" xfId="0" applyAlignment="1" applyBorder="1" applyFont="1">
      <alignment horizontal="center" vertical="center"/>
    </xf>
    <xf borderId="4" fillId="5" fontId="6" numFmtId="0" xfId="0" applyAlignment="1" applyBorder="1" applyFont="1">
      <alignment horizontal="center" readingOrder="0" vertical="center"/>
    </xf>
    <xf borderId="4" fillId="6" fontId="6" numFmtId="0" xfId="0" applyAlignment="1" applyBorder="1" applyFont="1">
      <alignment horizontal="center" readingOrder="0" vertical="center"/>
    </xf>
    <xf borderId="4" fillId="6" fontId="6" numFmtId="0" xfId="0" applyAlignment="1" applyBorder="1" applyFont="1">
      <alignment horizontal="left" readingOrder="0" shrinkToFit="0" vertical="center" wrapText="1"/>
    </xf>
    <xf borderId="4" fillId="6" fontId="6" numFmtId="0" xfId="0" applyAlignment="1" applyBorder="1" applyFont="1">
      <alignment horizontal="center" vertical="center"/>
    </xf>
    <xf borderId="4" fillId="5" fontId="6" numFmtId="0" xfId="0" applyAlignment="1" applyBorder="1" applyFont="1">
      <alignment horizontal="left" readingOrder="0" shrinkToFit="0" vertical="center" wrapText="1"/>
    </xf>
    <xf borderId="4" fillId="5" fontId="6" numFmtId="0" xfId="0" applyAlignment="1" applyBorder="1" applyFont="1">
      <alignment horizontal="center" vertical="center"/>
    </xf>
    <xf borderId="1" fillId="9" fontId="9" numFmtId="0" xfId="0" applyAlignment="1" applyBorder="1" applyFont="1">
      <alignment horizontal="center" vertical="center"/>
    </xf>
    <xf borderId="4" fillId="9" fontId="9" numFmtId="166" xfId="0" applyAlignment="1" applyBorder="1" applyFont="1" applyNumberFormat="1">
      <alignment horizontal="right" vertical="center"/>
    </xf>
    <xf borderId="4" fillId="9" fontId="7" numFmtId="0" xfId="0" applyAlignment="1" applyBorder="1" applyFont="1">
      <alignment horizontal="left" vertical="center"/>
    </xf>
    <xf borderId="1" fillId="2" fontId="12" numFmtId="0" xfId="0" applyAlignment="1" applyBorder="1" applyFont="1">
      <alignment horizontal="left" vertical="center"/>
    </xf>
    <xf borderId="4" fillId="7" fontId="4" numFmtId="0" xfId="0" applyAlignment="1" applyBorder="1" applyFont="1">
      <alignment horizontal="left" vertical="center"/>
    </xf>
    <xf borderId="1" fillId="8" fontId="13" numFmtId="166" xfId="0" applyAlignment="1" applyBorder="1" applyFont="1" applyNumberFormat="1">
      <alignment horizontal="right" vertical="center"/>
    </xf>
    <xf borderId="4" fillId="11" fontId="4" numFmtId="0" xfId="0" applyAlignment="1" applyBorder="1" applyFill="1" applyFont="1">
      <alignment horizontal="left" vertical="center"/>
    </xf>
    <xf borderId="1" fillId="12" fontId="13" numFmtId="166" xfId="0" applyAlignment="1" applyBorder="1" applyFill="1" applyFont="1" applyNumberFormat="1">
      <alignment horizontal="right" vertical="center"/>
    </xf>
    <xf borderId="4" fillId="13" fontId="4" numFmtId="0" xfId="0" applyAlignment="1" applyBorder="1" applyFill="1" applyFont="1">
      <alignment horizontal="left" vertical="center"/>
    </xf>
    <xf borderId="1" fillId="14" fontId="13" numFmtId="166" xfId="0" applyAlignment="1" applyBorder="1" applyFill="1" applyFont="1" applyNumberFormat="1">
      <alignment horizontal="right" vertical="center"/>
    </xf>
    <xf borderId="1" fillId="15" fontId="12" numFmtId="0" xfId="0" applyAlignment="1" applyBorder="1" applyFill="1" applyFont="1">
      <alignment horizontal="left" vertical="center"/>
    </xf>
    <xf borderId="4" fillId="15" fontId="4" numFmtId="0" xfId="0" applyAlignment="1" applyBorder="1" applyFont="1">
      <alignment horizontal="left" vertical="center"/>
    </xf>
    <xf borderId="1" fillId="16" fontId="13" numFmtId="166" xfId="0" applyAlignment="1" applyBorder="1" applyFill="1" applyFont="1" applyNumberFormat="1">
      <alignment horizontal="right" vertical="center"/>
    </xf>
    <xf borderId="1" fillId="16" fontId="13" numFmtId="167" xfId="0" applyAlignment="1" applyBorder="1" applyFont="1" applyNumberFormat="1">
      <alignment horizontal="right" vertical="center"/>
    </xf>
    <xf borderId="1" fillId="9" fontId="12" numFmtId="0" xfId="0" applyAlignment="1" applyBorder="1" applyFont="1">
      <alignment horizontal="left" vertical="center"/>
    </xf>
    <xf borderId="4" fillId="9" fontId="4" numFmtId="0" xfId="0" applyAlignment="1" applyBorder="1" applyFont="1">
      <alignment horizontal="left" vertical="center"/>
    </xf>
    <xf borderId="1" fillId="10" fontId="13" numFmtId="166" xfId="0" applyAlignment="1" applyBorder="1" applyFont="1" applyNumberFormat="1">
      <alignment horizontal="right" vertical="center"/>
    </xf>
    <xf borderId="1" fillId="10" fontId="13" numFmtId="164" xfId="0" applyAlignment="1" applyBorder="1" applyFont="1" applyNumberFormat="1">
      <alignment horizontal="right" vertical="center"/>
    </xf>
    <xf borderId="1" fillId="13" fontId="12" numFmtId="0" xfId="0" applyAlignment="1" applyBorder="1" applyFont="1">
      <alignment horizontal="left" vertical="center"/>
    </xf>
    <xf borderId="1" fillId="17" fontId="12" numFmtId="0" xfId="0" applyAlignment="1" applyBorder="1" applyFill="1" applyFont="1">
      <alignment horizontal="left" vertical="center"/>
    </xf>
    <xf borderId="4" fillId="4" fontId="4" numFmtId="0" xfId="0" applyAlignment="1" applyBorder="1" applyFont="1">
      <alignment horizontal="left" vertical="center"/>
    </xf>
    <xf borderId="1" fillId="3" fontId="7" numFmtId="0" xfId="0" applyAlignment="1" applyBorder="1" applyFont="1">
      <alignment horizontal="left" vertical="center"/>
    </xf>
    <xf borderId="1" fillId="15" fontId="1" numFmtId="0" xfId="0" applyAlignment="1" applyBorder="1" applyFont="1">
      <alignment horizontal="center" readingOrder="0" vertical="center"/>
    </xf>
    <xf borderId="1" fillId="16" fontId="14" numFmtId="0" xfId="0" applyAlignment="1" applyBorder="1" applyFont="1">
      <alignment horizontal="center" vertical="center"/>
    </xf>
    <xf borderId="1" fillId="15" fontId="4" numFmtId="0" xfId="0" applyAlignment="1" applyBorder="1" applyFont="1">
      <alignment horizontal="left" vertical="center"/>
    </xf>
    <xf borderId="4" fillId="18" fontId="15" numFmtId="1" xfId="0" applyAlignment="1" applyBorder="1" applyFill="1" applyFont="1" applyNumberFormat="1">
      <alignment horizontal="center" vertical="center"/>
    </xf>
    <xf borderId="1" fillId="16" fontId="16" numFmtId="0" xfId="0" applyAlignment="1" applyBorder="1" applyFont="1">
      <alignment horizontal="left" vertical="center"/>
    </xf>
    <xf borderId="4" fillId="8" fontId="7" numFmtId="166" xfId="0" applyAlignment="1" applyBorder="1" applyFont="1" applyNumberFormat="1">
      <alignment horizontal="right" vertical="center"/>
    </xf>
    <xf borderId="4" fillId="7" fontId="4" numFmtId="166" xfId="0" applyAlignment="1" applyBorder="1" applyFont="1" applyNumberFormat="1">
      <alignment horizontal="right" vertical="center"/>
    </xf>
    <xf borderId="4" fillId="14" fontId="7" numFmtId="166" xfId="0" applyAlignment="1" applyBorder="1" applyFont="1" applyNumberFormat="1">
      <alignment horizontal="right" vertical="center"/>
    </xf>
    <xf borderId="4" fillId="13" fontId="4" numFmtId="166" xfId="0" applyAlignment="1" applyBorder="1" applyFont="1" applyNumberFormat="1">
      <alignment horizontal="right" vertical="center"/>
    </xf>
    <xf borderId="4" fillId="16" fontId="7" numFmtId="166" xfId="0" applyAlignment="1" applyBorder="1" applyFont="1" applyNumberFormat="1">
      <alignment horizontal="right" vertical="center"/>
    </xf>
    <xf borderId="4" fillId="15" fontId="4" numFmtId="166" xfId="0" applyAlignment="1" applyBorder="1" applyFont="1" applyNumberFormat="1">
      <alignment horizontal="right" vertical="center"/>
    </xf>
    <xf borderId="4" fillId="16" fontId="7" numFmtId="167" xfId="0" applyAlignment="1" applyBorder="1" applyFont="1" applyNumberFormat="1">
      <alignment horizontal="right" vertical="center"/>
    </xf>
    <xf borderId="4" fillId="15" fontId="4" numFmtId="167" xfId="0" applyAlignment="1" applyBorder="1" applyFont="1" applyNumberFormat="1">
      <alignment horizontal="right" vertical="center"/>
    </xf>
    <xf borderId="4" fillId="3" fontId="7" numFmtId="164" xfId="0" applyAlignment="1" applyBorder="1" applyFont="1" applyNumberFormat="1">
      <alignment horizontal="right" vertical="center"/>
    </xf>
    <xf borderId="4" fillId="4" fontId="4" numFmtId="164" xfId="0" applyAlignment="1" applyBorder="1" applyFont="1" applyNumberFormat="1">
      <alignment horizontal="right" vertical="center"/>
    </xf>
    <xf borderId="1" fillId="2" fontId="9" numFmtId="0" xfId="0" applyAlignment="1" applyBorder="1" applyFont="1">
      <alignment horizontal="left" vertical="center"/>
    </xf>
    <xf borderId="4" fillId="12" fontId="7" numFmtId="166" xfId="0" applyAlignment="1" applyBorder="1" applyFont="1" applyNumberFormat="1">
      <alignment horizontal="right" vertical="center"/>
    </xf>
    <xf borderId="4" fillId="11" fontId="4" numFmtId="166" xfId="0" applyAlignment="1" applyBorder="1" applyFont="1" applyNumberFormat="1">
      <alignment horizontal="right" vertical="center"/>
    </xf>
    <xf borderId="1" fillId="13" fontId="9" numFmtId="0" xfId="0" applyAlignment="1" applyBorder="1" applyFont="1">
      <alignment horizontal="left" vertical="center"/>
    </xf>
    <xf borderId="4" fillId="2" fontId="4" numFmtId="0" xfId="0" applyAlignment="1" applyBorder="1" applyFont="1">
      <alignment horizontal="left" vertical="center"/>
    </xf>
    <xf borderId="4" fillId="3" fontId="7" numFmtId="166" xfId="0" applyAlignment="1" applyBorder="1" applyFont="1" applyNumberFormat="1">
      <alignment horizontal="right" vertical="center"/>
    </xf>
    <xf borderId="4" fillId="2" fontId="4" numFmtId="166" xfId="0" applyAlignment="1" applyBorder="1" applyFont="1" applyNumberFormat="1">
      <alignment horizontal="right" vertical="center"/>
    </xf>
    <xf borderId="1" fillId="13" fontId="1" numFmtId="0" xfId="0" applyAlignment="1" applyBorder="1" applyFont="1">
      <alignment horizontal="center" vertical="center"/>
    </xf>
    <xf borderId="1" fillId="14" fontId="17" numFmtId="0" xfId="0" applyAlignment="1" applyBorder="1" applyFont="1">
      <alignment horizontal="center" vertical="center"/>
    </xf>
    <xf borderId="4" fillId="13" fontId="4" numFmtId="0" xfId="0" applyAlignment="1" applyBorder="1" applyFont="1">
      <alignment horizontal="center" vertical="center"/>
    </xf>
    <xf borderId="1" fillId="13" fontId="9" numFmtId="0" xfId="0" applyAlignment="1" applyBorder="1" applyFont="1">
      <alignment horizontal="center" vertical="center"/>
    </xf>
    <xf borderId="4" fillId="13" fontId="9" numFmtId="166" xfId="0" applyAlignment="1" applyBorder="1" applyFont="1" applyNumberFormat="1">
      <alignment horizontal="right" vertical="center"/>
    </xf>
    <xf borderId="4" fillId="13" fontId="7" numFmtId="0" xfId="0" applyAlignment="1" applyBorder="1" applyFont="1">
      <alignment horizontal="left" vertical="center"/>
    </xf>
    <xf borderId="1" fillId="14" fontId="17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4F8A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0"/>
    <col customWidth="1" min="2" max="2" width="13.0"/>
    <col customWidth="1" min="3" max="3" width="22.0"/>
    <col customWidth="1" min="4" max="4" width="14.0"/>
    <col customWidth="1" min="5" max="5" width="10.0"/>
    <col customWidth="1" min="6" max="7" width="13.0"/>
    <col customWidth="1" min="8" max="9" width="16.0"/>
    <col customWidth="1" min="10" max="10" width="14.0"/>
    <col customWidth="1" min="11" max="11" width="12.0"/>
    <col customWidth="1" min="12" max="12" width="22.0"/>
    <col customWidth="1" min="13" max="26" width="8.71"/>
  </cols>
  <sheetData>
    <row r="1" ht="37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8.0" customHeight="1">
      <c r="A2" s="4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24.0" customHeight="1">
      <c r="A3" s="5" t="s">
        <v>1</v>
      </c>
      <c r="B3" s="5" t="s">
        <v>2</v>
      </c>
      <c r="C3" s="6" t="s">
        <v>3</v>
      </c>
      <c r="D3" s="6" t="s">
        <v>4</v>
      </c>
      <c r="E3" s="5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</row>
    <row r="4" ht="18.0" customHeight="1">
      <c r="A4" s="7">
        <f t="shared" ref="A4:A78" si="1">IF(B4="","",ROW()-3)</f>
        <v>1</v>
      </c>
      <c r="B4" s="8">
        <v>46134.0</v>
      </c>
      <c r="C4" s="9" t="s">
        <v>13</v>
      </c>
      <c r="D4" s="9" t="s">
        <v>14</v>
      </c>
      <c r="E4" s="10">
        <v>3.0</v>
      </c>
      <c r="F4" s="11">
        <v>52.99</v>
      </c>
      <c r="G4" s="12">
        <f t="shared" ref="G4:G6" si="2">IF(OR(E4="",F4=""),"",E4*F4)</f>
        <v>158.97</v>
      </c>
      <c r="H4" s="9" t="s">
        <v>15</v>
      </c>
      <c r="I4" s="9" t="s">
        <v>16</v>
      </c>
      <c r="J4" s="9" t="s">
        <v>17</v>
      </c>
      <c r="K4" s="9" t="s">
        <v>18</v>
      </c>
      <c r="L4" s="13"/>
    </row>
    <row r="5" ht="18.0" customHeight="1">
      <c r="A5" s="14">
        <f t="shared" si="1"/>
        <v>2</v>
      </c>
      <c r="B5" s="15">
        <v>46136.0</v>
      </c>
      <c r="C5" s="16" t="s">
        <v>19</v>
      </c>
      <c r="D5" s="16" t="s">
        <v>14</v>
      </c>
      <c r="E5" s="17">
        <v>2.0</v>
      </c>
      <c r="F5" s="18">
        <v>31.79</v>
      </c>
      <c r="G5" s="19">
        <f t="shared" si="2"/>
        <v>63.58</v>
      </c>
      <c r="H5" s="16" t="s">
        <v>20</v>
      </c>
      <c r="I5" s="16" t="s">
        <v>21</v>
      </c>
      <c r="J5" s="20" t="s">
        <v>22</v>
      </c>
      <c r="K5" s="16" t="s">
        <v>18</v>
      </c>
      <c r="L5" s="21"/>
    </row>
    <row r="6" ht="18.0" customHeight="1">
      <c r="A6" s="7">
        <f t="shared" si="1"/>
        <v>3</v>
      </c>
      <c r="B6" s="8">
        <v>46137.0</v>
      </c>
      <c r="C6" s="9" t="s">
        <v>23</v>
      </c>
      <c r="D6" s="9" t="s">
        <v>14</v>
      </c>
      <c r="E6" s="10">
        <v>3.0</v>
      </c>
      <c r="F6" s="11">
        <v>20.49</v>
      </c>
      <c r="G6" s="12">
        <f t="shared" si="2"/>
        <v>61.47</v>
      </c>
      <c r="H6" s="9" t="s">
        <v>24</v>
      </c>
      <c r="I6" s="9" t="s">
        <v>16</v>
      </c>
      <c r="J6" s="9" t="s">
        <v>25</v>
      </c>
      <c r="K6" s="9" t="s">
        <v>18</v>
      </c>
      <c r="L6" s="13"/>
    </row>
    <row r="7" ht="18.0" customHeight="1">
      <c r="A7" s="14">
        <f t="shared" si="1"/>
        <v>4</v>
      </c>
      <c r="B7" s="15">
        <v>46113.0</v>
      </c>
      <c r="C7" s="16" t="s">
        <v>26</v>
      </c>
      <c r="D7" s="16" t="s">
        <v>14</v>
      </c>
      <c r="E7" s="17">
        <v>1.0</v>
      </c>
      <c r="F7" s="18">
        <v>52.99</v>
      </c>
      <c r="G7" s="22">
        <v>52.99</v>
      </c>
      <c r="H7" s="16" t="s">
        <v>27</v>
      </c>
      <c r="I7" s="16" t="s">
        <v>16</v>
      </c>
      <c r="J7" s="16" t="s">
        <v>28</v>
      </c>
      <c r="K7" s="16" t="s">
        <v>18</v>
      </c>
      <c r="L7" s="21"/>
    </row>
    <row r="8" ht="18.0" customHeight="1">
      <c r="A8" s="7">
        <f t="shared" si="1"/>
        <v>5</v>
      </c>
      <c r="B8" s="23">
        <v>46155.0</v>
      </c>
      <c r="C8" s="24" t="s">
        <v>29</v>
      </c>
      <c r="D8" s="24" t="s">
        <v>14</v>
      </c>
      <c r="E8" s="25">
        <v>2.0</v>
      </c>
      <c r="F8" s="26">
        <v>59.99</v>
      </c>
      <c r="G8" s="12">
        <v>119.98</v>
      </c>
      <c r="H8" s="24" t="s">
        <v>30</v>
      </c>
      <c r="I8" s="24" t="s">
        <v>21</v>
      </c>
      <c r="J8" s="9" t="s">
        <v>31</v>
      </c>
      <c r="K8" s="24" t="s">
        <v>18</v>
      </c>
      <c r="L8" s="13"/>
    </row>
    <row r="9" ht="18.0" customHeight="1">
      <c r="A9" s="14">
        <f t="shared" si="1"/>
        <v>6</v>
      </c>
      <c r="B9" s="27">
        <v>46155.0</v>
      </c>
      <c r="C9" s="28" t="s">
        <v>32</v>
      </c>
      <c r="D9" s="28" t="s">
        <v>14</v>
      </c>
      <c r="E9" s="29">
        <v>2.0</v>
      </c>
      <c r="F9" s="30">
        <v>26.94</v>
      </c>
      <c r="G9" s="19">
        <v>53.88</v>
      </c>
      <c r="H9" s="28" t="s">
        <v>30</v>
      </c>
      <c r="I9" s="28" t="s">
        <v>21</v>
      </c>
      <c r="J9" s="16" t="s">
        <v>33</v>
      </c>
      <c r="K9" s="28" t="s">
        <v>18</v>
      </c>
      <c r="L9" s="21"/>
    </row>
    <row r="10" ht="18.0" customHeight="1">
      <c r="A10" s="7">
        <f t="shared" si="1"/>
        <v>7</v>
      </c>
      <c r="B10" s="23">
        <v>46155.0</v>
      </c>
      <c r="C10" s="31" t="s">
        <v>34</v>
      </c>
      <c r="D10" s="31" t="s">
        <v>14</v>
      </c>
      <c r="E10" s="25">
        <v>1.0</v>
      </c>
      <c r="F10" s="26">
        <v>161.64</v>
      </c>
      <c r="G10" s="12">
        <v>161.64</v>
      </c>
      <c r="H10" s="31" t="s">
        <v>30</v>
      </c>
      <c r="I10" s="31" t="s">
        <v>21</v>
      </c>
      <c r="J10" s="9" t="s">
        <v>35</v>
      </c>
      <c r="K10" s="31" t="s">
        <v>18</v>
      </c>
      <c r="L10" s="13"/>
    </row>
    <row r="11" ht="18.0" customHeight="1">
      <c r="A11" s="14">
        <f t="shared" si="1"/>
        <v>8</v>
      </c>
      <c r="B11" s="15">
        <v>46141.0</v>
      </c>
      <c r="C11" s="16" t="s">
        <v>36</v>
      </c>
      <c r="D11" s="16" t="s">
        <v>14</v>
      </c>
      <c r="E11" s="17">
        <v>5.0</v>
      </c>
      <c r="F11" s="18">
        <v>63.57</v>
      </c>
      <c r="G11" s="19">
        <f t="shared" ref="G11:G78" si="3">IF(OR(E11="",F11=""),"",E11*F11)</f>
        <v>317.85</v>
      </c>
      <c r="H11" s="16" t="s">
        <v>37</v>
      </c>
      <c r="I11" s="16" t="s">
        <v>38</v>
      </c>
      <c r="J11" s="16" t="s">
        <v>39</v>
      </c>
      <c r="K11" s="16" t="s">
        <v>18</v>
      </c>
      <c r="L11" s="21"/>
    </row>
    <row r="12" ht="18.0" customHeight="1">
      <c r="A12" s="7">
        <f t="shared" si="1"/>
        <v>9</v>
      </c>
      <c r="B12" s="8">
        <v>46141.0</v>
      </c>
      <c r="C12" s="9" t="s">
        <v>40</v>
      </c>
      <c r="D12" s="9" t="s">
        <v>14</v>
      </c>
      <c r="E12" s="10">
        <v>5.0</v>
      </c>
      <c r="F12" s="11">
        <v>19.05</v>
      </c>
      <c r="G12" s="12">
        <f t="shared" si="3"/>
        <v>95.25</v>
      </c>
      <c r="H12" s="9" t="s">
        <v>37</v>
      </c>
      <c r="I12" s="9" t="s">
        <v>38</v>
      </c>
      <c r="J12" s="9" t="s">
        <v>41</v>
      </c>
      <c r="K12" s="9" t="s">
        <v>18</v>
      </c>
      <c r="L12" s="13"/>
    </row>
    <row r="13" ht="18.0" customHeight="1">
      <c r="A13" s="14">
        <f t="shared" si="1"/>
        <v>10</v>
      </c>
      <c r="B13" s="15">
        <v>46143.0</v>
      </c>
      <c r="C13" s="9" t="s">
        <v>40</v>
      </c>
      <c r="D13" s="9" t="s">
        <v>14</v>
      </c>
      <c r="E13" s="10">
        <v>2.0</v>
      </c>
      <c r="F13" s="11">
        <v>19.05</v>
      </c>
      <c r="G13" s="12">
        <f t="shared" si="3"/>
        <v>38.1</v>
      </c>
      <c r="H13" s="9" t="s">
        <v>20</v>
      </c>
      <c r="I13" s="9" t="s">
        <v>38</v>
      </c>
      <c r="J13" s="9" t="s">
        <v>41</v>
      </c>
      <c r="K13" s="9" t="s">
        <v>18</v>
      </c>
      <c r="L13" s="21"/>
    </row>
    <row r="14" ht="18.0" customHeight="1">
      <c r="A14" s="7">
        <f t="shared" si="1"/>
        <v>11</v>
      </c>
      <c r="B14" s="8">
        <v>46148.0</v>
      </c>
      <c r="C14" s="9" t="s">
        <v>42</v>
      </c>
      <c r="D14" s="9" t="s">
        <v>43</v>
      </c>
      <c r="E14" s="10">
        <v>1.0</v>
      </c>
      <c r="F14" s="11">
        <v>180.95</v>
      </c>
      <c r="G14" s="12">
        <f t="shared" si="3"/>
        <v>180.95</v>
      </c>
      <c r="H14" s="9" t="s">
        <v>44</v>
      </c>
      <c r="I14" s="9" t="s">
        <v>16</v>
      </c>
      <c r="J14" s="9" t="s">
        <v>45</v>
      </c>
      <c r="K14" s="9" t="s">
        <v>18</v>
      </c>
      <c r="L14" s="13"/>
    </row>
    <row r="15" ht="18.0" customHeight="1">
      <c r="A15" s="14" t="str">
        <f t="shared" si="1"/>
        <v/>
      </c>
      <c r="B15" s="27"/>
      <c r="C15" s="32"/>
      <c r="D15" s="32"/>
      <c r="E15" s="29"/>
      <c r="F15" s="30"/>
      <c r="G15" s="19" t="str">
        <f t="shared" si="3"/>
        <v/>
      </c>
      <c r="H15" s="32"/>
      <c r="I15" s="32"/>
      <c r="J15" s="32"/>
      <c r="K15" s="32"/>
      <c r="L15" s="21"/>
    </row>
    <row r="16" ht="18.0" customHeight="1">
      <c r="A16" s="7" t="str">
        <f t="shared" si="1"/>
        <v/>
      </c>
      <c r="B16" s="23"/>
      <c r="C16" s="31"/>
      <c r="D16" s="31"/>
      <c r="E16" s="25"/>
      <c r="F16" s="26"/>
      <c r="G16" s="12" t="str">
        <f t="shared" si="3"/>
        <v/>
      </c>
      <c r="H16" s="31"/>
      <c r="I16" s="31"/>
      <c r="J16" s="31"/>
      <c r="K16" s="31"/>
      <c r="L16" s="13"/>
    </row>
    <row r="17" ht="18.0" customHeight="1">
      <c r="A17" s="14" t="str">
        <f t="shared" si="1"/>
        <v/>
      </c>
      <c r="B17" s="27"/>
      <c r="C17" s="32"/>
      <c r="D17" s="32"/>
      <c r="E17" s="29"/>
      <c r="F17" s="30"/>
      <c r="G17" s="19" t="str">
        <f t="shared" si="3"/>
        <v/>
      </c>
      <c r="H17" s="32"/>
      <c r="I17" s="32"/>
      <c r="J17" s="32"/>
      <c r="K17" s="32"/>
      <c r="L17" s="21"/>
    </row>
    <row r="18" ht="18.0" customHeight="1">
      <c r="A18" s="7" t="str">
        <f t="shared" si="1"/>
        <v/>
      </c>
      <c r="B18" s="23"/>
      <c r="C18" s="31"/>
      <c r="D18" s="31"/>
      <c r="E18" s="25"/>
      <c r="F18" s="26"/>
      <c r="G18" s="12" t="str">
        <f t="shared" si="3"/>
        <v/>
      </c>
      <c r="H18" s="31"/>
      <c r="I18" s="31"/>
      <c r="J18" s="31"/>
      <c r="K18" s="31"/>
      <c r="L18" s="13"/>
    </row>
    <row r="19" ht="18.0" customHeight="1">
      <c r="A19" s="14" t="str">
        <f t="shared" si="1"/>
        <v/>
      </c>
      <c r="B19" s="27"/>
      <c r="C19" s="32"/>
      <c r="D19" s="32"/>
      <c r="E19" s="29"/>
      <c r="F19" s="30"/>
      <c r="G19" s="19" t="str">
        <f t="shared" si="3"/>
        <v/>
      </c>
      <c r="H19" s="32"/>
      <c r="I19" s="32"/>
      <c r="J19" s="32"/>
      <c r="K19" s="32"/>
      <c r="L19" s="21"/>
    </row>
    <row r="20" ht="18.0" customHeight="1">
      <c r="A20" s="7" t="str">
        <f t="shared" si="1"/>
        <v/>
      </c>
      <c r="B20" s="23"/>
      <c r="C20" s="31"/>
      <c r="D20" s="31"/>
      <c r="E20" s="25"/>
      <c r="F20" s="26"/>
      <c r="G20" s="12" t="str">
        <f t="shared" si="3"/>
        <v/>
      </c>
      <c r="H20" s="31"/>
      <c r="I20" s="31"/>
      <c r="J20" s="31"/>
      <c r="K20" s="31"/>
      <c r="L20" s="13"/>
    </row>
    <row r="21" ht="18.0" customHeight="1">
      <c r="A21" s="14" t="str">
        <f t="shared" si="1"/>
        <v/>
      </c>
      <c r="B21" s="27"/>
      <c r="C21" s="32"/>
      <c r="D21" s="32"/>
      <c r="E21" s="29"/>
      <c r="F21" s="30"/>
      <c r="G21" s="19" t="str">
        <f t="shared" si="3"/>
        <v/>
      </c>
      <c r="H21" s="32"/>
      <c r="I21" s="32"/>
      <c r="J21" s="32"/>
      <c r="K21" s="32"/>
      <c r="L21" s="21"/>
    </row>
    <row r="22" ht="18.0" customHeight="1">
      <c r="A22" s="7" t="str">
        <f t="shared" si="1"/>
        <v/>
      </c>
      <c r="B22" s="23"/>
      <c r="C22" s="31"/>
      <c r="D22" s="31"/>
      <c r="E22" s="25"/>
      <c r="F22" s="26"/>
      <c r="G22" s="12" t="str">
        <f t="shared" si="3"/>
        <v/>
      </c>
      <c r="H22" s="31"/>
      <c r="I22" s="31"/>
      <c r="J22" s="31"/>
      <c r="K22" s="31"/>
      <c r="L22" s="13"/>
    </row>
    <row r="23" ht="18.0" customHeight="1">
      <c r="A23" s="14" t="str">
        <f t="shared" si="1"/>
        <v/>
      </c>
      <c r="B23" s="27"/>
      <c r="C23" s="32"/>
      <c r="D23" s="32"/>
      <c r="E23" s="29"/>
      <c r="F23" s="30"/>
      <c r="G23" s="19" t="str">
        <f t="shared" si="3"/>
        <v/>
      </c>
      <c r="H23" s="32"/>
      <c r="I23" s="32"/>
      <c r="J23" s="32"/>
      <c r="K23" s="32"/>
      <c r="L23" s="21"/>
    </row>
    <row r="24" ht="18.0" customHeight="1">
      <c r="A24" s="7" t="str">
        <f t="shared" si="1"/>
        <v/>
      </c>
      <c r="B24" s="23"/>
      <c r="C24" s="31"/>
      <c r="D24" s="31"/>
      <c r="E24" s="25"/>
      <c r="F24" s="26"/>
      <c r="G24" s="12" t="str">
        <f t="shared" si="3"/>
        <v/>
      </c>
      <c r="H24" s="31"/>
      <c r="I24" s="31"/>
      <c r="J24" s="31"/>
      <c r="K24" s="31"/>
      <c r="L24" s="13"/>
    </row>
    <row r="25" ht="18.0" customHeight="1">
      <c r="A25" s="14" t="str">
        <f t="shared" si="1"/>
        <v/>
      </c>
      <c r="B25" s="27"/>
      <c r="C25" s="32"/>
      <c r="D25" s="32"/>
      <c r="E25" s="29"/>
      <c r="F25" s="30"/>
      <c r="G25" s="19" t="str">
        <f t="shared" si="3"/>
        <v/>
      </c>
      <c r="H25" s="32"/>
      <c r="I25" s="32"/>
      <c r="J25" s="32"/>
      <c r="K25" s="32"/>
      <c r="L25" s="21"/>
    </row>
    <row r="26" ht="18.0" customHeight="1">
      <c r="A26" s="7" t="str">
        <f t="shared" si="1"/>
        <v/>
      </c>
      <c r="B26" s="23"/>
      <c r="C26" s="31"/>
      <c r="D26" s="31"/>
      <c r="E26" s="25"/>
      <c r="F26" s="26"/>
      <c r="G26" s="12" t="str">
        <f t="shared" si="3"/>
        <v/>
      </c>
      <c r="H26" s="31"/>
      <c r="I26" s="31"/>
      <c r="J26" s="31"/>
      <c r="K26" s="31"/>
      <c r="L26" s="13"/>
    </row>
    <row r="27" ht="18.0" customHeight="1">
      <c r="A27" s="14" t="str">
        <f t="shared" si="1"/>
        <v/>
      </c>
      <c r="B27" s="27"/>
      <c r="C27" s="32"/>
      <c r="D27" s="32"/>
      <c r="E27" s="29"/>
      <c r="F27" s="30"/>
      <c r="G27" s="19" t="str">
        <f t="shared" si="3"/>
        <v/>
      </c>
      <c r="H27" s="32"/>
      <c r="I27" s="32"/>
      <c r="J27" s="32"/>
      <c r="K27" s="32"/>
      <c r="L27" s="21"/>
    </row>
    <row r="28" ht="18.0" customHeight="1">
      <c r="A28" s="7" t="str">
        <f t="shared" si="1"/>
        <v/>
      </c>
      <c r="B28" s="23"/>
      <c r="C28" s="31"/>
      <c r="D28" s="31"/>
      <c r="E28" s="25"/>
      <c r="F28" s="26"/>
      <c r="G28" s="12" t="str">
        <f t="shared" si="3"/>
        <v/>
      </c>
      <c r="H28" s="31"/>
      <c r="I28" s="31"/>
      <c r="J28" s="31"/>
      <c r="K28" s="31"/>
      <c r="L28" s="13"/>
    </row>
    <row r="29" ht="18.0" customHeight="1">
      <c r="A29" s="14" t="str">
        <f t="shared" si="1"/>
        <v/>
      </c>
      <c r="B29" s="27"/>
      <c r="C29" s="32"/>
      <c r="D29" s="32"/>
      <c r="E29" s="29"/>
      <c r="F29" s="30"/>
      <c r="G29" s="19" t="str">
        <f t="shared" si="3"/>
        <v/>
      </c>
      <c r="H29" s="32"/>
      <c r="I29" s="32"/>
      <c r="J29" s="32"/>
      <c r="K29" s="32"/>
      <c r="L29" s="21"/>
    </row>
    <row r="30" ht="18.0" customHeight="1">
      <c r="A30" s="7" t="str">
        <f t="shared" si="1"/>
        <v/>
      </c>
      <c r="B30" s="23"/>
      <c r="C30" s="31"/>
      <c r="D30" s="31"/>
      <c r="E30" s="25"/>
      <c r="F30" s="26"/>
      <c r="G30" s="12" t="str">
        <f t="shared" si="3"/>
        <v/>
      </c>
      <c r="H30" s="31"/>
      <c r="I30" s="31"/>
      <c r="J30" s="31"/>
      <c r="K30" s="31"/>
      <c r="L30" s="13"/>
    </row>
    <row r="31" ht="18.0" customHeight="1">
      <c r="A31" s="14" t="str">
        <f t="shared" si="1"/>
        <v/>
      </c>
      <c r="B31" s="27"/>
      <c r="C31" s="32"/>
      <c r="D31" s="32"/>
      <c r="E31" s="29"/>
      <c r="F31" s="30"/>
      <c r="G31" s="19" t="str">
        <f t="shared" si="3"/>
        <v/>
      </c>
      <c r="H31" s="32"/>
      <c r="I31" s="32"/>
      <c r="J31" s="32"/>
      <c r="K31" s="32"/>
      <c r="L31" s="21"/>
    </row>
    <row r="32" ht="18.0" customHeight="1">
      <c r="A32" s="7" t="str">
        <f t="shared" si="1"/>
        <v/>
      </c>
      <c r="B32" s="23"/>
      <c r="C32" s="31"/>
      <c r="D32" s="31"/>
      <c r="E32" s="25"/>
      <c r="F32" s="26"/>
      <c r="G32" s="12" t="str">
        <f t="shared" si="3"/>
        <v/>
      </c>
      <c r="H32" s="31"/>
      <c r="I32" s="31"/>
      <c r="J32" s="31"/>
      <c r="K32" s="31"/>
      <c r="L32" s="13"/>
    </row>
    <row r="33" ht="18.0" customHeight="1">
      <c r="A33" s="14" t="str">
        <f t="shared" si="1"/>
        <v/>
      </c>
      <c r="B33" s="27"/>
      <c r="C33" s="32"/>
      <c r="D33" s="32"/>
      <c r="E33" s="29"/>
      <c r="F33" s="30"/>
      <c r="G33" s="19" t="str">
        <f t="shared" si="3"/>
        <v/>
      </c>
      <c r="H33" s="32"/>
      <c r="I33" s="32"/>
      <c r="J33" s="32"/>
      <c r="K33" s="32"/>
      <c r="L33" s="21"/>
    </row>
    <row r="34" ht="18.0" customHeight="1">
      <c r="A34" s="7" t="str">
        <f t="shared" si="1"/>
        <v/>
      </c>
      <c r="B34" s="23"/>
      <c r="C34" s="31"/>
      <c r="D34" s="31"/>
      <c r="E34" s="25"/>
      <c r="F34" s="26"/>
      <c r="G34" s="12" t="str">
        <f t="shared" si="3"/>
        <v/>
      </c>
      <c r="H34" s="31"/>
      <c r="I34" s="31"/>
      <c r="J34" s="31"/>
      <c r="K34" s="31"/>
      <c r="L34" s="13"/>
    </row>
    <row r="35" ht="18.0" customHeight="1">
      <c r="A35" s="14" t="str">
        <f t="shared" si="1"/>
        <v/>
      </c>
      <c r="B35" s="27"/>
      <c r="C35" s="32"/>
      <c r="D35" s="32"/>
      <c r="E35" s="29"/>
      <c r="F35" s="30"/>
      <c r="G35" s="19" t="str">
        <f t="shared" si="3"/>
        <v/>
      </c>
      <c r="H35" s="32"/>
      <c r="I35" s="32"/>
      <c r="J35" s="32"/>
      <c r="K35" s="32"/>
      <c r="L35" s="21"/>
    </row>
    <row r="36" ht="18.0" customHeight="1">
      <c r="A36" s="7" t="str">
        <f t="shared" si="1"/>
        <v/>
      </c>
      <c r="B36" s="23"/>
      <c r="C36" s="31"/>
      <c r="D36" s="31"/>
      <c r="E36" s="25"/>
      <c r="F36" s="26"/>
      <c r="G36" s="12" t="str">
        <f t="shared" si="3"/>
        <v/>
      </c>
      <c r="H36" s="31"/>
      <c r="I36" s="31"/>
      <c r="J36" s="31"/>
      <c r="K36" s="31"/>
      <c r="L36" s="13"/>
    </row>
    <row r="37" ht="18.0" customHeight="1">
      <c r="A37" s="14" t="str">
        <f t="shared" si="1"/>
        <v/>
      </c>
      <c r="B37" s="27"/>
      <c r="C37" s="32"/>
      <c r="D37" s="32"/>
      <c r="E37" s="29"/>
      <c r="F37" s="30"/>
      <c r="G37" s="19" t="str">
        <f t="shared" si="3"/>
        <v/>
      </c>
      <c r="H37" s="32"/>
      <c r="I37" s="32"/>
      <c r="J37" s="32"/>
      <c r="K37" s="32"/>
      <c r="L37" s="21"/>
    </row>
    <row r="38" ht="18.0" customHeight="1">
      <c r="A38" s="7" t="str">
        <f t="shared" si="1"/>
        <v/>
      </c>
      <c r="B38" s="23"/>
      <c r="C38" s="31"/>
      <c r="D38" s="31"/>
      <c r="E38" s="25"/>
      <c r="F38" s="26"/>
      <c r="G38" s="12" t="str">
        <f t="shared" si="3"/>
        <v/>
      </c>
      <c r="H38" s="31"/>
      <c r="I38" s="31"/>
      <c r="J38" s="31"/>
      <c r="K38" s="31"/>
      <c r="L38" s="13"/>
    </row>
    <row r="39" ht="18.0" customHeight="1">
      <c r="A39" s="14" t="str">
        <f t="shared" si="1"/>
        <v/>
      </c>
      <c r="B39" s="27"/>
      <c r="C39" s="32"/>
      <c r="D39" s="32"/>
      <c r="E39" s="29"/>
      <c r="F39" s="30"/>
      <c r="G39" s="19" t="str">
        <f t="shared" si="3"/>
        <v/>
      </c>
      <c r="H39" s="32"/>
      <c r="I39" s="32"/>
      <c r="J39" s="32"/>
      <c r="K39" s="32"/>
      <c r="L39" s="21"/>
    </row>
    <row r="40" ht="18.0" customHeight="1">
      <c r="A40" s="7" t="str">
        <f t="shared" si="1"/>
        <v/>
      </c>
      <c r="B40" s="23"/>
      <c r="C40" s="31"/>
      <c r="D40" s="31"/>
      <c r="E40" s="25"/>
      <c r="F40" s="26"/>
      <c r="G40" s="12" t="str">
        <f t="shared" si="3"/>
        <v/>
      </c>
      <c r="H40" s="31"/>
      <c r="I40" s="31"/>
      <c r="J40" s="31"/>
      <c r="K40" s="31"/>
      <c r="L40" s="13"/>
    </row>
    <row r="41" ht="18.0" customHeight="1">
      <c r="A41" s="14" t="str">
        <f t="shared" si="1"/>
        <v/>
      </c>
      <c r="B41" s="27"/>
      <c r="C41" s="32"/>
      <c r="D41" s="32"/>
      <c r="E41" s="29"/>
      <c r="F41" s="30"/>
      <c r="G41" s="19" t="str">
        <f t="shared" si="3"/>
        <v/>
      </c>
      <c r="H41" s="32"/>
      <c r="I41" s="32"/>
      <c r="J41" s="32"/>
      <c r="K41" s="32"/>
      <c r="L41" s="21"/>
    </row>
    <row r="42" ht="18.0" customHeight="1">
      <c r="A42" s="7" t="str">
        <f t="shared" si="1"/>
        <v/>
      </c>
      <c r="B42" s="23"/>
      <c r="C42" s="31"/>
      <c r="D42" s="31"/>
      <c r="E42" s="25"/>
      <c r="F42" s="26"/>
      <c r="G42" s="12" t="str">
        <f t="shared" si="3"/>
        <v/>
      </c>
      <c r="H42" s="31"/>
      <c r="I42" s="31"/>
      <c r="J42" s="31"/>
      <c r="K42" s="31"/>
      <c r="L42" s="13"/>
    </row>
    <row r="43" ht="18.0" customHeight="1">
      <c r="A43" s="14" t="str">
        <f t="shared" si="1"/>
        <v/>
      </c>
      <c r="B43" s="27"/>
      <c r="C43" s="32"/>
      <c r="D43" s="32"/>
      <c r="E43" s="29"/>
      <c r="F43" s="30"/>
      <c r="G43" s="19" t="str">
        <f t="shared" si="3"/>
        <v/>
      </c>
      <c r="H43" s="32"/>
      <c r="I43" s="32"/>
      <c r="J43" s="32"/>
      <c r="K43" s="32"/>
      <c r="L43" s="21"/>
    </row>
    <row r="44" ht="18.0" customHeight="1">
      <c r="A44" s="7" t="str">
        <f t="shared" si="1"/>
        <v/>
      </c>
      <c r="B44" s="23"/>
      <c r="C44" s="31"/>
      <c r="D44" s="31"/>
      <c r="E44" s="25"/>
      <c r="F44" s="26"/>
      <c r="G44" s="12" t="str">
        <f t="shared" si="3"/>
        <v/>
      </c>
      <c r="H44" s="31"/>
      <c r="I44" s="31"/>
      <c r="J44" s="31"/>
      <c r="K44" s="31"/>
      <c r="L44" s="13"/>
    </row>
    <row r="45" ht="18.0" customHeight="1">
      <c r="A45" s="14" t="str">
        <f t="shared" si="1"/>
        <v/>
      </c>
      <c r="B45" s="27"/>
      <c r="C45" s="32"/>
      <c r="D45" s="32"/>
      <c r="E45" s="29"/>
      <c r="F45" s="30"/>
      <c r="G45" s="19" t="str">
        <f t="shared" si="3"/>
        <v/>
      </c>
      <c r="H45" s="32"/>
      <c r="I45" s="32"/>
      <c r="J45" s="32"/>
      <c r="K45" s="32"/>
      <c r="L45" s="21"/>
    </row>
    <row r="46" ht="18.0" customHeight="1">
      <c r="A46" s="7" t="str">
        <f t="shared" si="1"/>
        <v/>
      </c>
      <c r="B46" s="23"/>
      <c r="C46" s="31"/>
      <c r="D46" s="31"/>
      <c r="E46" s="25"/>
      <c r="F46" s="26"/>
      <c r="G46" s="12" t="str">
        <f t="shared" si="3"/>
        <v/>
      </c>
      <c r="H46" s="31"/>
      <c r="I46" s="31"/>
      <c r="J46" s="31"/>
      <c r="K46" s="31"/>
      <c r="L46" s="13"/>
    </row>
    <row r="47" ht="18.0" customHeight="1">
      <c r="A47" s="14" t="str">
        <f t="shared" si="1"/>
        <v/>
      </c>
      <c r="B47" s="27"/>
      <c r="C47" s="32"/>
      <c r="D47" s="32"/>
      <c r="E47" s="29"/>
      <c r="F47" s="30"/>
      <c r="G47" s="19" t="str">
        <f t="shared" si="3"/>
        <v/>
      </c>
      <c r="H47" s="32"/>
      <c r="I47" s="32"/>
      <c r="J47" s="32"/>
      <c r="K47" s="32"/>
      <c r="L47" s="21"/>
    </row>
    <row r="48" ht="18.0" customHeight="1">
      <c r="A48" s="7" t="str">
        <f t="shared" si="1"/>
        <v/>
      </c>
      <c r="B48" s="23"/>
      <c r="C48" s="31"/>
      <c r="D48" s="31"/>
      <c r="E48" s="25"/>
      <c r="F48" s="26"/>
      <c r="G48" s="12" t="str">
        <f t="shared" si="3"/>
        <v/>
      </c>
      <c r="H48" s="31"/>
      <c r="I48" s="31"/>
      <c r="J48" s="31"/>
      <c r="K48" s="31"/>
      <c r="L48" s="13"/>
    </row>
    <row r="49" ht="18.0" customHeight="1">
      <c r="A49" s="14" t="str">
        <f t="shared" si="1"/>
        <v/>
      </c>
      <c r="B49" s="27"/>
      <c r="C49" s="32"/>
      <c r="D49" s="32"/>
      <c r="E49" s="29"/>
      <c r="F49" s="30"/>
      <c r="G49" s="19" t="str">
        <f t="shared" si="3"/>
        <v/>
      </c>
      <c r="H49" s="32"/>
      <c r="I49" s="32"/>
      <c r="J49" s="32"/>
      <c r="K49" s="32"/>
      <c r="L49" s="21"/>
    </row>
    <row r="50" ht="18.0" customHeight="1">
      <c r="A50" s="7" t="str">
        <f t="shared" si="1"/>
        <v/>
      </c>
      <c r="B50" s="23"/>
      <c r="C50" s="31"/>
      <c r="D50" s="31"/>
      <c r="E50" s="25"/>
      <c r="F50" s="26"/>
      <c r="G50" s="12" t="str">
        <f t="shared" si="3"/>
        <v/>
      </c>
      <c r="H50" s="31"/>
      <c r="I50" s="31"/>
      <c r="J50" s="31"/>
      <c r="K50" s="31"/>
      <c r="L50" s="13"/>
    </row>
    <row r="51" ht="18.0" customHeight="1">
      <c r="A51" s="14" t="str">
        <f t="shared" si="1"/>
        <v/>
      </c>
      <c r="B51" s="27"/>
      <c r="C51" s="32"/>
      <c r="D51" s="32"/>
      <c r="E51" s="29"/>
      <c r="F51" s="30"/>
      <c r="G51" s="19" t="str">
        <f t="shared" si="3"/>
        <v/>
      </c>
      <c r="H51" s="32"/>
      <c r="I51" s="32"/>
      <c r="J51" s="32"/>
      <c r="K51" s="32"/>
      <c r="L51" s="21"/>
    </row>
    <row r="52" ht="18.0" customHeight="1">
      <c r="A52" s="7" t="str">
        <f t="shared" si="1"/>
        <v/>
      </c>
      <c r="B52" s="23"/>
      <c r="C52" s="31"/>
      <c r="D52" s="31"/>
      <c r="E52" s="25"/>
      <c r="F52" s="26"/>
      <c r="G52" s="12" t="str">
        <f t="shared" si="3"/>
        <v/>
      </c>
      <c r="H52" s="31"/>
      <c r="I52" s="31"/>
      <c r="J52" s="31"/>
      <c r="K52" s="31"/>
      <c r="L52" s="13"/>
    </row>
    <row r="53" ht="18.0" customHeight="1">
      <c r="A53" s="14" t="str">
        <f t="shared" si="1"/>
        <v/>
      </c>
      <c r="B53" s="27"/>
      <c r="C53" s="32"/>
      <c r="D53" s="32"/>
      <c r="E53" s="29"/>
      <c r="F53" s="30"/>
      <c r="G53" s="19" t="str">
        <f t="shared" si="3"/>
        <v/>
      </c>
      <c r="H53" s="32"/>
      <c r="I53" s="32"/>
      <c r="J53" s="32"/>
      <c r="K53" s="32"/>
      <c r="L53" s="21"/>
    </row>
    <row r="54" ht="18.0" customHeight="1">
      <c r="A54" s="7" t="str">
        <f t="shared" si="1"/>
        <v/>
      </c>
      <c r="B54" s="23"/>
      <c r="C54" s="31"/>
      <c r="D54" s="31"/>
      <c r="E54" s="25"/>
      <c r="F54" s="26"/>
      <c r="G54" s="12" t="str">
        <f t="shared" si="3"/>
        <v/>
      </c>
      <c r="H54" s="31"/>
      <c r="I54" s="31"/>
      <c r="J54" s="31"/>
      <c r="K54" s="31"/>
      <c r="L54" s="13"/>
    </row>
    <row r="55" ht="18.0" customHeight="1">
      <c r="A55" s="14" t="str">
        <f t="shared" si="1"/>
        <v/>
      </c>
      <c r="B55" s="27"/>
      <c r="C55" s="32"/>
      <c r="D55" s="32"/>
      <c r="E55" s="29"/>
      <c r="F55" s="30"/>
      <c r="G55" s="19" t="str">
        <f t="shared" si="3"/>
        <v/>
      </c>
      <c r="H55" s="32"/>
      <c r="I55" s="32"/>
      <c r="J55" s="32"/>
      <c r="K55" s="32"/>
      <c r="L55" s="21"/>
    </row>
    <row r="56" ht="18.0" customHeight="1">
      <c r="A56" s="7" t="str">
        <f t="shared" si="1"/>
        <v/>
      </c>
      <c r="B56" s="23"/>
      <c r="C56" s="31"/>
      <c r="D56" s="31"/>
      <c r="E56" s="25"/>
      <c r="F56" s="26"/>
      <c r="G56" s="12" t="str">
        <f t="shared" si="3"/>
        <v/>
      </c>
      <c r="H56" s="31"/>
      <c r="I56" s="31"/>
      <c r="J56" s="31"/>
      <c r="K56" s="31"/>
      <c r="L56" s="13"/>
    </row>
    <row r="57" ht="18.0" customHeight="1">
      <c r="A57" s="14" t="str">
        <f t="shared" si="1"/>
        <v/>
      </c>
      <c r="B57" s="27"/>
      <c r="C57" s="32"/>
      <c r="D57" s="32"/>
      <c r="E57" s="29"/>
      <c r="F57" s="30"/>
      <c r="G57" s="19" t="str">
        <f t="shared" si="3"/>
        <v/>
      </c>
      <c r="H57" s="32"/>
      <c r="I57" s="32"/>
      <c r="J57" s="32"/>
      <c r="K57" s="32"/>
      <c r="L57" s="21"/>
    </row>
    <row r="58" ht="18.0" customHeight="1">
      <c r="A58" s="7" t="str">
        <f t="shared" si="1"/>
        <v/>
      </c>
      <c r="B58" s="23"/>
      <c r="C58" s="31"/>
      <c r="D58" s="31"/>
      <c r="E58" s="25"/>
      <c r="F58" s="26"/>
      <c r="G58" s="12" t="str">
        <f t="shared" si="3"/>
        <v/>
      </c>
      <c r="H58" s="31"/>
      <c r="I58" s="31"/>
      <c r="J58" s="31"/>
      <c r="K58" s="31"/>
      <c r="L58" s="13"/>
    </row>
    <row r="59" ht="18.0" customHeight="1">
      <c r="A59" s="14" t="str">
        <f t="shared" si="1"/>
        <v/>
      </c>
      <c r="B59" s="27"/>
      <c r="C59" s="32"/>
      <c r="D59" s="32"/>
      <c r="E59" s="29"/>
      <c r="F59" s="30"/>
      <c r="G59" s="19" t="str">
        <f t="shared" si="3"/>
        <v/>
      </c>
      <c r="H59" s="32"/>
      <c r="I59" s="32"/>
      <c r="J59" s="32"/>
      <c r="K59" s="32"/>
      <c r="L59" s="21"/>
    </row>
    <row r="60" ht="18.0" customHeight="1">
      <c r="A60" s="7" t="str">
        <f t="shared" si="1"/>
        <v/>
      </c>
      <c r="B60" s="23"/>
      <c r="C60" s="31"/>
      <c r="D60" s="31"/>
      <c r="E60" s="25"/>
      <c r="F60" s="26"/>
      <c r="G60" s="12" t="str">
        <f t="shared" si="3"/>
        <v/>
      </c>
      <c r="H60" s="31"/>
      <c r="I60" s="31"/>
      <c r="J60" s="31"/>
      <c r="K60" s="31"/>
      <c r="L60" s="13"/>
    </row>
    <row r="61" ht="18.0" customHeight="1">
      <c r="A61" s="14" t="str">
        <f t="shared" si="1"/>
        <v/>
      </c>
      <c r="B61" s="27"/>
      <c r="C61" s="32"/>
      <c r="D61" s="32"/>
      <c r="E61" s="29"/>
      <c r="F61" s="30"/>
      <c r="G61" s="19" t="str">
        <f t="shared" si="3"/>
        <v/>
      </c>
      <c r="H61" s="32"/>
      <c r="I61" s="32"/>
      <c r="J61" s="32"/>
      <c r="K61" s="32"/>
      <c r="L61" s="21"/>
    </row>
    <row r="62" ht="18.0" customHeight="1">
      <c r="A62" s="7" t="str">
        <f t="shared" si="1"/>
        <v/>
      </c>
      <c r="B62" s="23"/>
      <c r="C62" s="31"/>
      <c r="D62" s="31"/>
      <c r="E62" s="25"/>
      <c r="F62" s="26"/>
      <c r="G62" s="12" t="str">
        <f t="shared" si="3"/>
        <v/>
      </c>
      <c r="H62" s="31"/>
      <c r="I62" s="31"/>
      <c r="J62" s="31"/>
      <c r="K62" s="31"/>
      <c r="L62" s="13"/>
    </row>
    <row r="63" ht="18.0" customHeight="1">
      <c r="A63" s="14" t="str">
        <f t="shared" si="1"/>
        <v/>
      </c>
      <c r="B63" s="27"/>
      <c r="C63" s="32"/>
      <c r="D63" s="32"/>
      <c r="E63" s="29"/>
      <c r="F63" s="30"/>
      <c r="G63" s="19" t="str">
        <f t="shared" si="3"/>
        <v/>
      </c>
      <c r="H63" s="32"/>
      <c r="I63" s="32"/>
      <c r="J63" s="32"/>
      <c r="K63" s="32"/>
      <c r="L63" s="21"/>
    </row>
    <row r="64" ht="18.0" customHeight="1">
      <c r="A64" s="7" t="str">
        <f t="shared" si="1"/>
        <v/>
      </c>
      <c r="B64" s="23"/>
      <c r="C64" s="31"/>
      <c r="D64" s="31"/>
      <c r="E64" s="25"/>
      <c r="F64" s="26"/>
      <c r="G64" s="12" t="str">
        <f t="shared" si="3"/>
        <v/>
      </c>
      <c r="H64" s="31"/>
      <c r="I64" s="31"/>
      <c r="J64" s="31"/>
      <c r="K64" s="31"/>
      <c r="L64" s="13"/>
    </row>
    <row r="65" ht="18.0" customHeight="1">
      <c r="A65" s="14" t="str">
        <f t="shared" si="1"/>
        <v/>
      </c>
      <c r="B65" s="27"/>
      <c r="C65" s="32"/>
      <c r="D65" s="32"/>
      <c r="E65" s="29"/>
      <c r="F65" s="30"/>
      <c r="G65" s="19" t="str">
        <f t="shared" si="3"/>
        <v/>
      </c>
      <c r="H65" s="32"/>
      <c r="I65" s="32"/>
      <c r="J65" s="32"/>
      <c r="K65" s="32"/>
      <c r="L65" s="21"/>
    </row>
    <row r="66" ht="18.0" customHeight="1">
      <c r="A66" s="7" t="str">
        <f t="shared" si="1"/>
        <v/>
      </c>
      <c r="B66" s="23"/>
      <c r="C66" s="31"/>
      <c r="D66" s="31"/>
      <c r="E66" s="25"/>
      <c r="F66" s="26"/>
      <c r="G66" s="12" t="str">
        <f t="shared" si="3"/>
        <v/>
      </c>
      <c r="H66" s="31"/>
      <c r="I66" s="31"/>
      <c r="J66" s="31"/>
      <c r="K66" s="31"/>
      <c r="L66" s="13"/>
    </row>
    <row r="67" ht="18.0" customHeight="1">
      <c r="A67" s="14" t="str">
        <f t="shared" si="1"/>
        <v/>
      </c>
      <c r="B67" s="27"/>
      <c r="C67" s="32"/>
      <c r="D67" s="32"/>
      <c r="E67" s="29"/>
      <c r="F67" s="30"/>
      <c r="G67" s="19" t="str">
        <f t="shared" si="3"/>
        <v/>
      </c>
      <c r="H67" s="32"/>
      <c r="I67" s="32"/>
      <c r="J67" s="32"/>
      <c r="K67" s="32"/>
      <c r="L67" s="21"/>
    </row>
    <row r="68" ht="18.0" customHeight="1">
      <c r="A68" s="7" t="str">
        <f t="shared" si="1"/>
        <v/>
      </c>
      <c r="B68" s="23"/>
      <c r="C68" s="31"/>
      <c r="D68" s="31"/>
      <c r="E68" s="25"/>
      <c r="F68" s="26"/>
      <c r="G68" s="12" t="str">
        <f t="shared" si="3"/>
        <v/>
      </c>
      <c r="H68" s="31"/>
      <c r="I68" s="31"/>
      <c r="J68" s="31"/>
      <c r="K68" s="31"/>
      <c r="L68" s="13"/>
    </row>
    <row r="69" ht="18.0" customHeight="1">
      <c r="A69" s="14" t="str">
        <f t="shared" si="1"/>
        <v/>
      </c>
      <c r="B69" s="27"/>
      <c r="C69" s="32"/>
      <c r="D69" s="32"/>
      <c r="E69" s="29"/>
      <c r="F69" s="30"/>
      <c r="G69" s="19" t="str">
        <f t="shared" si="3"/>
        <v/>
      </c>
      <c r="H69" s="32"/>
      <c r="I69" s="32"/>
      <c r="J69" s="32"/>
      <c r="K69" s="32"/>
      <c r="L69" s="21"/>
    </row>
    <row r="70" ht="18.0" customHeight="1">
      <c r="A70" s="7" t="str">
        <f t="shared" si="1"/>
        <v/>
      </c>
      <c r="B70" s="23"/>
      <c r="C70" s="31"/>
      <c r="D70" s="31"/>
      <c r="E70" s="25"/>
      <c r="F70" s="26"/>
      <c r="G70" s="12" t="str">
        <f t="shared" si="3"/>
        <v/>
      </c>
      <c r="H70" s="31"/>
      <c r="I70" s="31"/>
      <c r="J70" s="31"/>
      <c r="K70" s="31"/>
      <c r="L70" s="13"/>
    </row>
    <row r="71" ht="18.0" customHeight="1">
      <c r="A71" s="14" t="str">
        <f t="shared" si="1"/>
        <v/>
      </c>
      <c r="B71" s="27"/>
      <c r="C71" s="32"/>
      <c r="D71" s="32"/>
      <c r="E71" s="29"/>
      <c r="F71" s="30"/>
      <c r="G71" s="19" t="str">
        <f t="shared" si="3"/>
        <v/>
      </c>
      <c r="H71" s="32"/>
      <c r="I71" s="32"/>
      <c r="J71" s="32"/>
      <c r="K71" s="32"/>
      <c r="L71" s="21"/>
    </row>
    <row r="72" ht="18.0" customHeight="1">
      <c r="A72" s="7" t="str">
        <f t="shared" si="1"/>
        <v/>
      </c>
      <c r="B72" s="23"/>
      <c r="C72" s="31"/>
      <c r="D72" s="31"/>
      <c r="E72" s="25"/>
      <c r="F72" s="26"/>
      <c r="G72" s="12" t="str">
        <f t="shared" si="3"/>
        <v/>
      </c>
      <c r="H72" s="31"/>
      <c r="I72" s="31"/>
      <c r="J72" s="31"/>
      <c r="K72" s="31"/>
      <c r="L72" s="13"/>
    </row>
    <row r="73" ht="18.0" customHeight="1">
      <c r="A73" s="14" t="str">
        <f t="shared" si="1"/>
        <v/>
      </c>
      <c r="B73" s="27"/>
      <c r="C73" s="32"/>
      <c r="D73" s="32"/>
      <c r="E73" s="29"/>
      <c r="F73" s="30"/>
      <c r="G73" s="19" t="str">
        <f t="shared" si="3"/>
        <v/>
      </c>
      <c r="H73" s="32"/>
      <c r="I73" s="32"/>
      <c r="J73" s="32"/>
      <c r="K73" s="32"/>
      <c r="L73" s="21"/>
    </row>
    <row r="74" ht="18.0" customHeight="1">
      <c r="A74" s="7" t="str">
        <f t="shared" si="1"/>
        <v/>
      </c>
      <c r="B74" s="23"/>
      <c r="C74" s="31"/>
      <c r="D74" s="31"/>
      <c r="E74" s="25"/>
      <c r="F74" s="26"/>
      <c r="G74" s="12" t="str">
        <f t="shared" si="3"/>
        <v/>
      </c>
      <c r="H74" s="31"/>
      <c r="I74" s="31"/>
      <c r="J74" s="31"/>
      <c r="K74" s="31"/>
      <c r="L74" s="13"/>
    </row>
    <row r="75" ht="18.0" customHeight="1">
      <c r="A75" s="14" t="str">
        <f t="shared" si="1"/>
        <v/>
      </c>
      <c r="B75" s="27"/>
      <c r="C75" s="32"/>
      <c r="D75" s="32"/>
      <c r="E75" s="29"/>
      <c r="F75" s="30"/>
      <c r="G75" s="19" t="str">
        <f t="shared" si="3"/>
        <v/>
      </c>
      <c r="H75" s="32"/>
      <c r="I75" s="32"/>
      <c r="J75" s="32"/>
      <c r="K75" s="32"/>
      <c r="L75" s="21"/>
    </row>
    <row r="76" ht="18.0" customHeight="1">
      <c r="A76" s="7" t="str">
        <f t="shared" si="1"/>
        <v/>
      </c>
      <c r="B76" s="23"/>
      <c r="C76" s="31"/>
      <c r="D76" s="31"/>
      <c r="E76" s="25"/>
      <c r="F76" s="26"/>
      <c r="G76" s="12" t="str">
        <f t="shared" si="3"/>
        <v/>
      </c>
      <c r="H76" s="31"/>
      <c r="I76" s="31"/>
      <c r="J76" s="31"/>
      <c r="K76" s="31"/>
      <c r="L76" s="13"/>
    </row>
    <row r="77" ht="18.0" customHeight="1">
      <c r="A77" s="14" t="str">
        <f t="shared" si="1"/>
        <v/>
      </c>
      <c r="B77" s="27"/>
      <c r="C77" s="32"/>
      <c r="D77" s="32"/>
      <c r="E77" s="29"/>
      <c r="F77" s="30"/>
      <c r="G77" s="19" t="str">
        <f t="shared" si="3"/>
        <v/>
      </c>
      <c r="H77" s="32"/>
      <c r="I77" s="32"/>
      <c r="J77" s="32"/>
      <c r="K77" s="32"/>
      <c r="L77" s="21"/>
    </row>
    <row r="78" ht="18.0" customHeight="1">
      <c r="A78" s="7" t="str">
        <f t="shared" si="1"/>
        <v/>
      </c>
      <c r="B78" s="23"/>
      <c r="C78" s="31"/>
      <c r="D78" s="31"/>
      <c r="E78" s="25"/>
      <c r="F78" s="26"/>
      <c r="G78" s="12" t="str">
        <f t="shared" si="3"/>
        <v/>
      </c>
      <c r="H78" s="31"/>
      <c r="I78" s="31"/>
      <c r="J78" s="31"/>
      <c r="K78" s="31"/>
      <c r="L78" s="13"/>
    </row>
    <row r="79" ht="24.0" customHeight="1">
      <c r="A79" s="33" t="s">
        <v>46</v>
      </c>
      <c r="B79" s="2"/>
      <c r="C79" s="2"/>
      <c r="D79" s="2"/>
      <c r="E79" s="2"/>
      <c r="F79" s="3"/>
      <c r="G79" s="34">
        <f>SUM(G4:G78)</f>
        <v>1304.66</v>
      </c>
      <c r="H79" s="35"/>
      <c r="I79" s="35"/>
      <c r="J79" s="35"/>
      <c r="K79" s="35"/>
      <c r="L79" s="35"/>
    </row>
    <row r="80" ht="15.75" customHeight="1"/>
    <row r="81" ht="15.75" customHeight="1">
      <c r="A81" s="36" t="s">
        <v>47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3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L1"/>
    <mergeCell ref="A2:L2"/>
    <mergeCell ref="A79:F79"/>
    <mergeCell ref="A81:L8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5C38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0"/>
    <col customWidth="1" min="2" max="2" width="13.0"/>
    <col customWidth="1" min="3" max="3" width="22.0"/>
    <col customWidth="1" min="4" max="4" width="14.0"/>
    <col customWidth="1" min="5" max="5" width="10.0"/>
    <col customWidth="1" min="6" max="6" width="16.0"/>
    <col customWidth="1" min="7" max="7" width="14.0"/>
    <col customWidth="1" min="8" max="8" width="16.0"/>
    <col customWidth="1" min="9" max="9" width="14.0"/>
    <col customWidth="1" min="10" max="12" width="13.0"/>
    <col customWidth="1" min="13" max="13" width="11.0"/>
    <col customWidth="1" min="14" max="26" width="8.71"/>
  </cols>
  <sheetData>
    <row r="1" ht="37.5" customHeight="1">
      <c r="A1" s="37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8.0" customHeight="1">
      <c r="A2" s="38" t="s">
        <v>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ht="24.0" customHeight="1">
      <c r="A3" s="5" t="s">
        <v>1</v>
      </c>
      <c r="B3" s="5" t="s">
        <v>50</v>
      </c>
      <c r="C3" s="39" t="s">
        <v>3</v>
      </c>
      <c r="D3" s="39" t="s">
        <v>10</v>
      </c>
      <c r="E3" s="5" t="s">
        <v>51</v>
      </c>
      <c r="F3" s="5" t="s">
        <v>52</v>
      </c>
      <c r="G3" s="5" t="s">
        <v>53</v>
      </c>
      <c r="H3" s="39" t="s">
        <v>54</v>
      </c>
      <c r="I3" s="39" t="s">
        <v>55</v>
      </c>
      <c r="J3" s="5" t="s">
        <v>6</v>
      </c>
      <c r="K3" s="5" t="s">
        <v>7</v>
      </c>
      <c r="L3" s="5" t="s">
        <v>56</v>
      </c>
      <c r="M3" s="5" t="s">
        <v>57</v>
      </c>
    </row>
    <row r="4" ht="18.0" customHeight="1">
      <c r="A4" s="7">
        <f t="shared" ref="A4:A78" si="1">IF(B4="","",ROW()-3)</f>
        <v>1</v>
      </c>
      <c r="B4" s="8">
        <v>46137.0</v>
      </c>
      <c r="C4" s="9" t="s">
        <v>13</v>
      </c>
      <c r="D4" s="9" t="s">
        <v>17</v>
      </c>
      <c r="E4" s="10">
        <v>3.0</v>
      </c>
      <c r="F4" s="11">
        <v>153.33</v>
      </c>
      <c r="G4" s="12">
        <f t="shared" ref="G4:G78" si="2">IF(OR(E4="",F4=""),"",E4*F4)</f>
        <v>459.99</v>
      </c>
      <c r="H4" s="9" t="s">
        <v>58</v>
      </c>
      <c r="I4" s="9" t="s">
        <v>59</v>
      </c>
      <c r="J4" s="11">
        <v>52.99</v>
      </c>
      <c r="K4" s="12">
        <f t="shared" ref="K4:K78" si="3">IF(OR(E4="",J4=""),"",E4*J4)</f>
        <v>158.97</v>
      </c>
      <c r="L4" s="12">
        <f t="shared" ref="L4:L78" si="4">IF(OR(G4="",K4=""),"",G4-K4)</f>
        <v>301.02</v>
      </c>
      <c r="M4" s="40">
        <f t="shared" ref="M4:M78" si="5">IFERROR(IF(G4="","",L4/G4),"")</f>
        <v>0.6544055306</v>
      </c>
    </row>
    <row r="5" ht="18.0" customHeight="1">
      <c r="A5" s="14">
        <f t="shared" si="1"/>
        <v>2</v>
      </c>
      <c r="B5" s="15">
        <v>46117.0</v>
      </c>
      <c r="C5" s="16" t="s">
        <v>26</v>
      </c>
      <c r="D5" s="16" t="s">
        <v>25</v>
      </c>
      <c r="E5" s="17">
        <v>1.0</v>
      </c>
      <c r="F5" s="18">
        <v>110.0</v>
      </c>
      <c r="G5" s="19">
        <f t="shared" si="2"/>
        <v>110</v>
      </c>
      <c r="H5" s="16" t="s">
        <v>58</v>
      </c>
      <c r="I5" s="16" t="s">
        <v>59</v>
      </c>
      <c r="J5" s="18">
        <v>52.99</v>
      </c>
      <c r="K5" s="19">
        <f t="shared" si="3"/>
        <v>52.99</v>
      </c>
      <c r="L5" s="19">
        <f t="shared" si="4"/>
        <v>57.01</v>
      </c>
      <c r="M5" s="41">
        <f t="shared" si="5"/>
        <v>0.5182727273</v>
      </c>
    </row>
    <row r="6" ht="18.0" customHeight="1">
      <c r="A6" s="7">
        <f t="shared" si="1"/>
        <v>3</v>
      </c>
      <c r="B6" s="42">
        <v>46145.0</v>
      </c>
      <c r="C6" s="9" t="s">
        <v>40</v>
      </c>
      <c r="D6" s="9" t="s">
        <v>41</v>
      </c>
      <c r="E6" s="10">
        <v>5.0</v>
      </c>
      <c r="F6" s="11">
        <v>42.8</v>
      </c>
      <c r="G6" s="12">
        <f t="shared" si="2"/>
        <v>214</v>
      </c>
      <c r="H6" s="9" t="s">
        <v>60</v>
      </c>
      <c r="I6" s="9" t="s">
        <v>61</v>
      </c>
      <c r="J6" s="11">
        <v>19.05</v>
      </c>
      <c r="K6" s="12">
        <f t="shared" si="3"/>
        <v>95.25</v>
      </c>
      <c r="L6" s="12">
        <f t="shared" si="4"/>
        <v>118.75</v>
      </c>
      <c r="M6" s="40">
        <f t="shared" si="5"/>
        <v>0.5549065421</v>
      </c>
    </row>
    <row r="7" ht="18.0" customHeight="1">
      <c r="A7" s="14">
        <f t="shared" si="1"/>
        <v>4</v>
      </c>
      <c r="B7" s="15">
        <v>46150.0</v>
      </c>
      <c r="C7" s="16" t="s">
        <v>62</v>
      </c>
      <c r="D7" s="16" t="s">
        <v>63</v>
      </c>
      <c r="E7" s="17">
        <v>59.0</v>
      </c>
      <c r="F7" s="18">
        <v>11.73</v>
      </c>
      <c r="G7" s="19">
        <f t="shared" si="2"/>
        <v>692.07</v>
      </c>
      <c r="H7" s="16" t="s">
        <v>60</v>
      </c>
      <c r="I7" s="16" t="s">
        <v>61</v>
      </c>
      <c r="J7" s="18">
        <v>6.43</v>
      </c>
      <c r="K7" s="19">
        <f t="shared" si="3"/>
        <v>379.37</v>
      </c>
      <c r="L7" s="19">
        <f t="shared" si="4"/>
        <v>312.7</v>
      </c>
      <c r="M7" s="41">
        <f t="shared" si="5"/>
        <v>0.4518329071</v>
      </c>
    </row>
    <row r="8" ht="18.0" customHeight="1">
      <c r="A8" s="7">
        <f t="shared" si="1"/>
        <v>5</v>
      </c>
      <c r="B8" s="8">
        <v>46155.0</v>
      </c>
      <c r="C8" s="9" t="s">
        <v>19</v>
      </c>
      <c r="D8" s="9" t="s">
        <v>64</v>
      </c>
      <c r="E8" s="10">
        <v>2.0</v>
      </c>
      <c r="F8" s="11">
        <v>72.5</v>
      </c>
      <c r="G8" s="12">
        <f t="shared" si="2"/>
        <v>145</v>
      </c>
      <c r="H8" s="9" t="s">
        <v>58</v>
      </c>
      <c r="I8" s="9" t="s">
        <v>59</v>
      </c>
      <c r="J8" s="11">
        <v>31.79</v>
      </c>
      <c r="K8" s="12">
        <f t="shared" si="3"/>
        <v>63.58</v>
      </c>
      <c r="L8" s="12">
        <f t="shared" si="4"/>
        <v>81.42</v>
      </c>
      <c r="M8" s="40">
        <f t="shared" si="5"/>
        <v>0.5615172414</v>
      </c>
    </row>
    <row r="9" ht="18.0" customHeight="1">
      <c r="A9" s="14" t="str">
        <f t="shared" si="1"/>
        <v/>
      </c>
      <c r="B9" s="27"/>
      <c r="C9" s="32"/>
      <c r="D9" s="32"/>
      <c r="E9" s="29"/>
      <c r="F9" s="30"/>
      <c r="G9" s="19" t="str">
        <f t="shared" si="2"/>
        <v/>
      </c>
      <c r="H9" s="32"/>
      <c r="I9" s="32"/>
      <c r="J9" s="30"/>
      <c r="K9" s="19" t="str">
        <f t="shared" si="3"/>
        <v/>
      </c>
      <c r="L9" s="19" t="str">
        <f t="shared" si="4"/>
        <v/>
      </c>
      <c r="M9" s="41" t="str">
        <f t="shared" si="5"/>
        <v/>
      </c>
    </row>
    <row r="10" ht="18.0" customHeight="1">
      <c r="A10" s="7" t="str">
        <f t="shared" si="1"/>
        <v/>
      </c>
      <c r="B10" s="23"/>
      <c r="C10" s="31"/>
      <c r="D10" s="31"/>
      <c r="E10" s="25"/>
      <c r="F10" s="26"/>
      <c r="G10" s="12" t="str">
        <f t="shared" si="2"/>
        <v/>
      </c>
      <c r="H10" s="31"/>
      <c r="I10" s="31"/>
      <c r="J10" s="26"/>
      <c r="K10" s="12" t="str">
        <f t="shared" si="3"/>
        <v/>
      </c>
      <c r="L10" s="12" t="str">
        <f t="shared" si="4"/>
        <v/>
      </c>
      <c r="M10" s="40" t="str">
        <f t="shared" si="5"/>
        <v/>
      </c>
    </row>
    <row r="11" ht="18.0" customHeight="1">
      <c r="A11" s="14" t="str">
        <f t="shared" si="1"/>
        <v/>
      </c>
      <c r="B11" s="27"/>
      <c r="C11" s="32"/>
      <c r="D11" s="32"/>
      <c r="E11" s="29"/>
      <c r="F11" s="30"/>
      <c r="G11" s="19" t="str">
        <f t="shared" si="2"/>
        <v/>
      </c>
      <c r="H11" s="32"/>
      <c r="I11" s="32"/>
      <c r="J11" s="30"/>
      <c r="K11" s="19" t="str">
        <f t="shared" si="3"/>
        <v/>
      </c>
      <c r="L11" s="19" t="str">
        <f t="shared" si="4"/>
        <v/>
      </c>
      <c r="M11" s="41" t="str">
        <f t="shared" si="5"/>
        <v/>
      </c>
    </row>
    <row r="12" ht="18.0" customHeight="1">
      <c r="A12" s="7" t="str">
        <f t="shared" si="1"/>
        <v/>
      </c>
      <c r="B12" s="23"/>
      <c r="C12" s="31"/>
      <c r="D12" s="31"/>
      <c r="E12" s="25"/>
      <c r="F12" s="26"/>
      <c r="G12" s="12" t="str">
        <f t="shared" si="2"/>
        <v/>
      </c>
      <c r="H12" s="31"/>
      <c r="I12" s="31"/>
      <c r="J12" s="26"/>
      <c r="K12" s="12" t="str">
        <f t="shared" si="3"/>
        <v/>
      </c>
      <c r="L12" s="12" t="str">
        <f t="shared" si="4"/>
        <v/>
      </c>
      <c r="M12" s="40" t="str">
        <f t="shared" si="5"/>
        <v/>
      </c>
    </row>
    <row r="13" ht="18.0" customHeight="1">
      <c r="A13" s="14" t="str">
        <f t="shared" si="1"/>
        <v/>
      </c>
      <c r="B13" s="27"/>
      <c r="C13" s="32"/>
      <c r="D13" s="32"/>
      <c r="E13" s="29"/>
      <c r="F13" s="30"/>
      <c r="G13" s="19" t="str">
        <f t="shared" si="2"/>
        <v/>
      </c>
      <c r="H13" s="32"/>
      <c r="I13" s="32"/>
      <c r="J13" s="30"/>
      <c r="K13" s="19" t="str">
        <f t="shared" si="3"/>
        <v/>
      </c>
      <c r="L13" s="19" t="str">
        <f t="shared" si="4"/>
        <v/>
      </c>
      <c r="M13" s="41" t="str">
        <f t="shared" si="5"/>
        <v/>
      </c>
    </row>
    <row r="14" ht="18.0" customHeight="1">
      <c r="A14" s="7" t="str">
        <f t="shared" si="1"/>
        <v/>
      </c>
      <c r="B14" s="23"/>
      <c r="C14" s="31"/>
      <c r="D14" s="31"/>
      <c r="E14" s="25"/>
      <c r="F14" s="26"/>
      <c r="G14" s="12" t="str">
        <f t="shared" si="2"/>
        <v/>
      </c>
      <c r="H14" s="31"/>
      <c r="I14" s="31"/>
      <c r="J14" s="26"/>
      <c r="K14" s="12" t="str">
        <f t="shared" si="3"/>
        <v/>
      </c>
      <c r="L14" s="12" t="str">
        <f t="shared" si="4"/>
        <v/>
      </c>
      <c r="M14" s="40" t="str">
        <f t="shared" si="5"/>
        <v/>
      </c>
    </row>
    <row r="15" ht="18.0" customHeight="1">
      <c r="A15" s="14" t="str">
        <f t="shared" si="1"/>
        <v/>
      </c>
      <c r="B15" s="27"/>
      <c r="C15" s="32"/>
      <c r="D15" s="32"/>
      <c r="E15" s="29"/>
      <c r="F15" s="30"/>
      <c r="G15" s="19" t="str">
        <f t="shared" si="2"/>
        <v/>
      </c>
      <c r="H15" s="32"/>
      <c r="I15" s="32"/>
      <c r="J15" s="30"/>
      <c r="K15" s="19" t="str">
        <f t="shared" si="3"/>
        <v/>
      </c>
      <c r="L15" s="19" t="str">
        <f t="shared" si="4"/>
        <v/>
      </c>
      <c r="M15" s="41" t="str">
        <f t="shared" si="5"/>
        <v/>
      </c>
    </row>
    <row r="16" ht="18.0" customHeight="1">
      <c r="A16" s="7" t="str">
        <f t="shared" si="1"/>
        <v/>
      </c>
      <c r="B16" s="23"/>
      <c r="C16" s="31"/>
      <c r="D16" s="31"/>
      <c r="E16" s="25"/>
      <c r="F16" s="26"/>
      <c r="G16" s="12" t="str">
        <f t="shared" si="2"/>
        <v/>
      </c>
      <c r="H16" s="31"/>
      <c r="I16" s="31"/>
      <c r="J16" s="26"/>
      <c r="K16" s="12" t="str">
        <f t="shared" si="3"/>
        <v/>
      </c>
      <c r="L16" s="12" t="str">
        <f t="shared" si="4"/>
        <v/>
      </c>
      <c r="M16" s="40" t="str">
        <f t="shared" si="5"/>
        <v/>
      </c>
    </row>
    <row r="17" ht="18.0" customHeight="1">
      <c r="A17" s="14" t="str">
        <f t="shared" si="1"/>
        <v/>
      </c>
      <c r="B17" s="27"/>
      <c r="C17" s="32"/>
      <c r="D17" s="32"/>
      <c r="E17" s="29"/>
      <c r="F17" s="30"/>
      <c r="G17" s="19" t="str">
        <f t="shared" si="2"/>
        <v/>
      </c>
      <c r="H17" s="32"/>
      <c r="I17" s="32"/>
      <c r="J17" s="30"/>
      <c r="K17" s="19" t="str">
        <f t="shared" si="3"/>
        <v/>
      </c>
      <c r="L17" s="19" t="str">
        <f t="shared" si="4"/>
        <v/>
      </c>
      <c r="M17" s="41" t="str">
        <f t="shared" si="5"/>
        <v/>
      </c>
    </row>
    <row r="18" ht="18.0" customHeight="1">
      <c r="A18" s="7" t="str">
        <f t="shared" si="1"/>
        <v/>
      </c>
      <c r="B18" s="23"/>
      <c r="C18" s="31"/>
      <c r="D18" s="31"/>
      <c r="E18" s="25"/>
      <c r="F18" s="26"/>
      <c r="G18" s="12" t="str">
        <f t="shared" si="2"/>
        <v/>
      </c>
      <c r="H18" s="31"/>
      <c r="I18" s="31"/>
      <c r="J18" s="26"/>
      <c r="K18" s="12" t="str">
        <f t="shared" si="3"/>
        <v/>
      </c>
      <c r="L18" s="12" t="str">
        <f t="shared" si="4"/>
        <v/>
      </c>
      <c r="M18" s="40" t="str">
        <f t="shared" si="5"/>
        <v/>
      </c>
    </row>
    <row r="19" ht="18.0" customHeight="1">
      <c r="A19" s="14" t="str">
        <f t="shared" si="1"/>
        <v/>
      </c>
      <c r="B19" s="27"/>
      <c r="C19" s="32"/>
      <c r="D19" s="32"/>
      <c r="E19" s="29"/>
      <c r="F19" s="30"/>
      <c r="G19" s="19" t="str">
        <f t="shared" si="2"/>
        <v/>
      </c>
      <c r="H19" s="32"/>
      <c r="I19" s="32"/>
      <c r="J19" s="30"/>
      <c r="K19" s="19" t="str">
        <f t="shared" si="3"/>
        <v/>
      </c>
      <c r="L19" s="19" t="str">
        <f t="shared" si="4"/>
        <v/>
      </c>
      <c r="M19" s="41" t="str">
        <f t="shared" si="5"/>
        <v/>
      </c>
    </row>
    <row r="20" ht="18.0" customHeight="1">
      <c r="A20" s="7" t="str">
        <f t="shared" si="1"/>
        <v/>
      </c>
      <c r="B20" s="23"/>
      <c r="C20" s="31"/>
      <c r="D20" s="31"/>
      <c r="E20" s="25"/>
      <c r="F20" s="26"/>
      <c r="G20" s="12" t="str">
        <f t="shared" si="2"/>
        <v/>
      </c>
      <c r="H20" s="31"/>
      <c r="I20" s="31"/>
      <c r="J20" s="26"/>
      <c r="K20" s="12" t="str">
        <f t="shared" si="3"/>
        <v/>
      </c>
      <c r="L20" s="12" t="str">
        <f t="shared" si="4"/>
        <v/>
      </c>
      <c r="M20" s="40" t="str">
        <f t="shared" si="5"/>
        <v/>
      </c>
    </row>
    <row r="21" ht="18.0" customHeight="1">
      <c r="A21" s="14" t="str">
        <f t="shared" si="1"/>
        <v/>
      </c>
      <c r="B21" s="27"/>
      <c r="C21" s="32"/>
      <c r="D21" s="32"/>
      <c r="E21" s="29"/>
      <c r="F21" s="30"/>
      <c r="G21" s="19" t="str">
        <f t="shared" si="2"/>
        <v/>
      </c>
      <c r="H21" s="32"/>
      <c r="I21" s="32"/>
      <c r="J21" s="30"/>
      <c r="K21" s="19" t="str">
        <f t="shared" si="3"/>
        <v/>
      </c>
      <c r="L21" s="19" t="str">
        <f t="shared" si="4"/>
        <v/>
      </c>
      <c r="M21" s="41" t="str">
        <f t="shared" si="5"/>
        <v/>
      </c>
    </row>
    <row r="22" ht="18.0" customHeight="1">
      <c r="A22" s="7" t="str">
        <f t="shared" si="1"/>
        <v/>
      </c>
      <c r="B22" s="23"/>
      <c r="C22" s="31"/>
      <c r="D22" s="31"/>
      <c r="E22" s="25"/>
      <c r="F22" s="26"/>
      <c r="G22" s="12" t="str">
        <f t="shared" si="2"/>
        <v/>
      </c>
      <c r="H22" s="31"/>
      <c r="I22" s="31"/>
      <c r="J22" s="26"/>
      <c r="K22" s="12" t="str">
        <f t="shared" si="3"/>
        <v/>
      </c>
      <c r="L22" s="12" t="str">
        <f t="shared" si="4"/>
        <v/>
      </c>
      <c r="M22" s="40" t="str">
        <f t="shared" si="5"/>
        <v/>
      </c>
    </row>
    <row r="23" ht="18.0" customHeight="1">
      <c r="A23" s="14" t="str">
        <f t="shared" si="1"/>
        <v/>
      </c>
      <c r="B23" s="27"/>
      <c r="C23" s="32"/>
      <c r="D23" s="32"/>
      <c r="E23" s="29"/>
      <c r="F23" s="30"/>
      <c r="G23" s="19" t="str">
        <f t="shared" si="2"/>
        <v/>
      </c>
      <c r="H23" s="32"/>
      <c r="I23" s="32"/>
      <c r="J23" s="30"/>
      <c r="K23" s="19" t="str">
        <f t="shared" si="3"/>
        <v/>
      </c>
      <c r="L23" s="19" t="str">
        <f t="shared" si="4"/>
        <v/>
      </c>
      <c r="M23" s="41" t="str">
        <f t="shared" si="5"/>
        <v/>
      </c>
    </row>
    <row r="24" ht="18.0" customHeight="1">
      <c r="A24" s="7" t="str">
        <f t="shared" si="1"/>
        <v/>
      </c>
      <c r="B24" s="23"/>
      <c r="C24" s="31"/>
      <c r="D24" s="31"/>
      <c r="E24" s="25"/>
      <c r="F24" s="26"/>
      <c r="G24" s="12" t="str">
        <f t="shared" si="2"/>
        <v/>
      </c>
      <c r="H24" s="31"/>
      <c r="I24" s="31"/>
      <c r="J24" s="26"/>
      <c r="K24" s="12" t="str">
        <f t="shared" si="3"/>
        <v/>
      </c>
      <c r="L24" s="12" t="str">
        <f t="shared" si="4"/>
        <v/>
      </c>
      <c r="M24" s="40" t="str">
        <f t="shared" si="5"/>
        <v/>
      </c>
    </row>
    <row r="25" ht="18.0" customHeight="1">
      <c r="A25" s="14" t="str">
        <f t="shared" si="1"/>
        <v/>
      </c>
      <c r="B25" s="27"/>
      <c r="C25" s="32"/>
      <c r="D25" s="32"/>
      <c r="E25" s="29"/>
      <c r="F25" s="30"/>
      <c r="G25" s="19" t="str">
        <f t="shared" si="2"/>
        <v/>
      </c>
      <c r="H25" s="32"/>
      <c r="I25" s="32"/>
      <c r="J25" s="30"/>
      <c r="K25" s="19" t="str">
        <f t="shared" si="3"/>
        <v/>
      </c>
      <c r="L25" s="19" t="str">
        <f t="shared" si="4"/>
        <v/>
      </c>
      <c r="M25" s="41" t="str">
        <f t="shared" si="5"/>
        <v/>
      </c>
    </row>
    <row r="26" ht="18.0" customHeight="1">
      <c r="A26" s="7" t="str">
        <f t="shared" si="1"/>
        <v/>
      </c>
      <c r="B26" s="23"/>
      <c r="C26" s="31"/>
      <c r="D26" s="31"/>
      <c r="E26" s="25"/>
      <c r="F26" s="26"/>
      <c r="G26" s="12" t="str">
        <f t="shared" si="2"/>
        <v/>
      </c>
      <c r="H26" s="31"/>
      <c r="I26" s="31"/>
      <c r="J26" s="26"/>
      <c r="K26" s="12" t="str">
        <f t="shared" si="3"/>
        <v/>
      </c>
      <c r="L26" s="12" t="str">
        <f t="shared" si="4"/>
        <v/>
      </c>
      <c r="M26" s="40" t="str">
        <f t="shared" si="5"/>
        <v/>
      </c>
    </row>
    <row r="27" ht="18.0" customHeight="1">
      <c r="A27" s="14" t="str">
        <f t="shared" si="1"/>
        <v/>
      </c>
      <c r="B27" s="27"/>
      <c r="C27" s="32"/>
      <c r="D27" s="32"/>
      <c r="E27" s="29"/>
      <c r="F27" s="30"/>
      <c r="G27" s="19" t="str">
        <f t="shared" si="2"/>
        <v/>
      </c>
      <c r="H27" s="32"/>
      <c r="I27" s="32"/>
      <c r="J27" s="30"/>
      <c r="K27" s="19" t="str">
        <f t="shared" si="3"/>
        <v/>
      </c>
      <c r="L27" s="19" t="str">
        <f t="shared" si="4"/>
        <v/>
      </c>
      <c r="M27" s="41" t="str">
        <f t="shared" si="5"/>
        <v/>
      </c>
    </row>
    <row r="28" ht="18.0" customHeight="1">
      <c r="A28" s="7" t="str">
        <f t="shared" si="1"/>
        <v/>
      </c>
      <c r="B28" s="23"/>
      <c r="C28" s="31"/>
      <c r="D28" s="31"/>
      <c r="E28" s="25"/>
      <c r="F28" s="26"/>
      <c r="G28" s="12" t="str">
        <f t="shared" si="2"/>
        <v/>
      </c>
      <c r="H28" s="31"/>
      <c r="I28" s="31"/>
      <c r="J28" s="26"/>
      <c r="K28" s="12" t="str">
        <f t="shared" si="3"/>
        <v/>
      </c>
      <c r="L28" s="12" t="str">
        <f t="shared" si="4"/>
        <v/>
      </c>
      <c r="M28" s="40" t="str">
        <f t="shared" si="5"/>
        <v/>
      </c>
    </row>
    <row r="29" ht="18.0" customHeight="1">
      <c r="A29" s="14" t="str">
        <f t="shared" si="1"/>
        <v/>
      </c>
      <c r="B29" s="27"/>
      <c r="C29" s="32"/>
      <c r="D29" s="32"/>
      <c r="E29" s="29"/>
      <c r="F29" s="30"/>
      <c r="G29" s="19" t="str">
        <f t="shared" si="2"/>
        <v/>
      </c>
      <c r="H29" s="32"/>
      <c r="I29" s="32"/>
      <c r="J29" s="30"/>
      <c r="K29" s="19" t="str">
        <f t="shared" si="3"/>
        <v/>
      </c>
      <c r="L29" s="19" t="str">
        <f t="shared" si="4"/>
        <v/>
      </c>
      <c r="M29" s="41" t="str">
        <f t="shared" si="5"/>
        <v/>
      </c>
    </row>
    <row r="30" ht="18.0" customHeight="1">
      <c r="A30" s="7" t="str">
        <f t="shared" si="1"/>
        <v/>
      </c>
      <c r="B30" s="23"/>
      <c r="C30" s="31"/>
      <c r="D30" s="31"/>
      <c r="E30" s="25"/>
      <c r="F30" s="26"/>
      <c r="G30" s="12" t="str">
        <f t="shared" si="2"/>
        <v/>
      </c>
      <c r="H30" s="31"/>
      <c r="I30" s="31"/>
      <c r="J30" s="26"/>
      <c r="K30" s="12" t="str">
        <f t="shared" si="3"/>
        <v/>
      </c>
      <c r="L30" s="12" t="str">
        <f t="shared" si="4"/>
        <v/>
      </c>
      <c r="M30" s="40" t="str">
        <f t="shared" si="5"/>
        <v/>
      </c>
    </row>
    <row r="31" ht="18.0" customHeight="1">
      <c r="A31" s="14" t="str">
        <f t="shared" si="1"/>
        <v/>
      </c>
      <c r="B31" s="27"/>
      <c r="C31" s="32"/>
      <c r="D31" s="32"/>
      <c r="E31" s="29"/>
      <c r="F31" s="30"/>
      <c r="G31" s="19" t="str">
        <f t="shared" si="2"/>
        <v/>
      </c>
      <c r="H31" s="32"/>
      <c r="I31" s="32"/>
      <c r="J31" s="30"/>
      <c r="K31" s="19" t="str">
        <f t="shared" si="3"/>
        <v/>
      </c>
      <c r="L31" s="19" t="str">
        <f t="shared" si="4"/>
        <v/>
      </c>
      <c r="M31" s="41" t="str">
        <f t="shared" si="5"/>
        <v/>
      </c>
    </row>
    <row r="32" ht="18.0" customHeight="1">
      <c r="A32" s="7" t="str">
        <f t="shared" si="1"/>
        <v/>
      </c>
      <c r="B32" s="23"/>
      <c r="C32" s="31"/>
      <c r="D32" s="31"/>
      <c r="E32" s="25"/>
      <c r="F32" s="26"/>
      <c r="G32" s="12" t="str">
        <f t="shared" si="2"/>
        <v/>
      </c>
      <c r="H32" s="31"/>
      <c r="I32" s="31"/>
      <c r="J32" s="26"/>
      <c r="K32" s="12" t="str">
        <f t="shared" si="3"/>
        <v/>
      </c>
      <c r="L32" s="12" t="str">
        <f t="shared" si="4"/>
        <v/>
      </c>
      <c r="M32" s="40" t="str">
        <f t="shared" si="5"/>
        <v/>
      </c>
    </row>
    <row r="33" ht="18.0" customHeight="1">
      <c r="A33" s="14" t="str">
        <f t="shared" si="1"/>
        <v/>
      </c>
      <c r="B33" s="27"/>
      <c r="C33" s="32"/>
      <c r="D33" s="32"/>
      <c r="E33" s="29"/>
      <c r="F33" s="30"/>
      <c r="G33" s="19" t="str">
        <f t="shared" si="2"/>
        <v/>
      </c>
      <c r="H33" s="32"/>
      <c r="I33" s="32"/>
      <c r="J33" s="30"/>
      <c r="K33" s="19" t="str">
        <f t="shared" si="3"/>
        <v/>
      </c>
      <c r="L33" s="19" t="str">
        <f t="shared" si="4"/>
        <v/>
      </c>
      <c r="M33" s="41" t="str">
        <f t="shared" si="5"/>
        <v/>
      </c>
    </row>
    <row r="34" ht="18.0" customHeight="1">
      <c r="A34" s="7" t="str">
        <f t="shared" si="1"/>
        <v/>
      </c>
      <c r="B34" s="23"/>
      <c r="C34" s="31"/>
      <c r="D34" s="31"/>
      <c r="E34" s="25"/>
      <c r="F34" s="26"/>
      <c r="G34" s="12" t="str">
        <f t="shared" si="2"/>
        <v/>
      </c>
      <c r="H34" s="31"/>
      <c r="I34" s="31"/>
      <c r="J34" s="26"/>
      <c r="K34" s="12" t="str">
        <f t="shared" si="3"/>
        <v/>
      </c>
      <c r="L34" s="12" t="str">
        <f t="shared" si="4"/>
        <v/>
      </c>
      <c r="M34" s="40" t="str">
        <f t="shared" si="5"/>
        <v/>
      </c>
    </row>
    <row r="35" ht="18.0" customHeight="1">
      <c r="A35" s="14" t="str">
        <f t="shared" si="1"/>
        <v/>
      </c>
      <c r="B35" s="27"/>
      <c r="C35" s="32"/>
      <c r="D35" s="32"/>
      <c r="E35" s="29"/>
      <c r="F35" s="30"/>
      <c r="G35" s="19" t="str">
        <f t="shared" si="2"/>
        <v/>
      </c>
      <c r="H35" s="32"/>
      <c r="I35" s="32"/>
      <c r="J35" s="30"/>
      <c r="K35" s="19" t="str">
        <f t="shared" si="3"/>
        <v/>
      </c>
      <c r="L35" s="19" t="str">
        <f t="shared" si="4"/>
        <v/>
      </c>
      <c r="M35" s="41" t="str">
        <f t="shared" si="5"/>
        <v/>
      </c>
    </row>
    <row r="36" ht="18.0" customHeight="1">
      <c r="A36" s="7" t="str">
        <f t="shared" si="1"/>
        <v/>
      </c>
      <c r="B36" s="23"/>
      <c r="C36" s="31"/>
      <c r="D36" s="31"/>
      <c r="E36" s="25"/>
      <c r="F36" s="26"/>
      <c r="G36" s="12" t="str">
        <f t="shared" si="2"/>
        <v/>
      </c>
      <c r="H36" s="31"/>
      <c r="I36" s="31"/>
      <c r="J36" s="26"/>
      <c r="K36" s="12" t="str">
        <f t="shared" si="3"/>
        <v/>
      </c>
      <c r="L36" s="12" t="str">
        <f t="shared" si="4"/>
        <v/>
      </c>
      <c r="M36" s="40" t="str">
        <f t="shared" si="5"/>
        <v/>
      </c>
    </row>
    <row r="37" ht="18.0" customHeight="1">
      <c r="A37" s="14" t="str">
        <f t="shared" si="1"/>
        <v/>
      </c>
      <c r="B37" s="27"/>
      <c r="C37" s="32"/>
      <c r="D37" s="32"/>
      <c r="E37" s="29"/>
      <c r="F37" s="30"/>
      <c r="G37" s="19" t="str">
        <f t="shared" si="2"/>
        <v/>
      </c>
      <c r="H37" s="32"/>
      <c r="I37" s="32"/>
      <c r="J37" s="30"/>
      <c r="K37" s="19" t="str">
        <f t="shared" si="3"/>
        <v/>
      </c>
      <c r="L37" s="19" t="str">
        <f t="shared" si="4"/>
        <v/>
      </c>
      <c r="M37" s="41" t="str">
        <f t="shared" si="5"/>
        <v/>
      </c>
    </row>
    <row r="38" ht="18.0" customHeight="1">
      <c r="A38" s="7" t="str">
        <f t="shared" si="1"/>
        <v/>
      </c>
      <c r="B38" s="23"/>
      <c r="C38" s="31"/>
      <c r="D38" s="31"/>
      <c r="E38" s="25"/>
      <c r="F38" s="26"/>
      <c r="G38" s="12" t="str">
        <f t="shared" si="2"/>
        <v/>
      </c>
      <c r="H38" s="31"/>
      <c r="I38" s="31"/>
      <c r="J38" s="26"/>
      <c r="K38" s="12" t="str">
        <f t="shared" si="3"/>
        <v/>
      </c>
      <c r="L38" s="12" t="str">
        <f t="shared" si="4"/>
        <v/>
      </c>
      <c r="M38" s="40" t="str">
        <f t="shared" si="5"/>
        <v/>
      </c>
    </row>
    <row r="39" ht="18.0" customHeight="1">
      <c r="A39" s="14" t="str">
        <f t="shared" si="1"/>
        <v/>
      </c>
      <c r="B39" s="27"/>
      <c r="C39" s="32"/>
      <c r="D39" s="32"/>
      <c r="E39" s="29"/>
      <c r="F39" s="30"/>
      <c r="G39" s="19" t="str">
        <f t="shared" si="2"/>
        <v/>
      </c>
      <c r="H39" s="32"/>
      <c r="I39" s="32"/>
      <c r="J39" s="30"/>
      <c r="K39" s="19" t="str">
        <f t="shared" si="3"/>
        <v/>
      </c>
      <c r="L39" s="19" t="str">
        <f t="shared" si="4"/>
        <v/>
      </c>
      <c r="M39" s="41" t="str">
        <f t="shared" si="5"/>
        <v/>
      </c>
    </row>
    <row r="40" ht="18.0" customHeight="1">
      <c r="A40" s="7" t="str">
        <f t="shared" si="1"/>
        <v/>
      </c>
      <c r="B40" s="23"/>
      <c r="C40" s="31"/>
      <c r="D40" s="31"/>
      <c r="E40" s="25"/>
      <c r="F40" s="26"/>
      <c r="G40" s="12" t="str">
        <f t="shared" si="2"/>
        <v/>
      </c>
      <c r="H40" s="31"/>
      <c r="I40" s="31"/>
      <c r="J40" s="26"/>
      <c r="K40" s="12" t="str">
        <f t="shared" si="3"/>
        <v/>
      </c>
      <c r="L40" s="12" t="str">
        <f t="shared" si="4"/>
        <v/>
      </c>
      <c r="M40" s="40" t="str">
        <f t="shared" si="5"/>
        <v/>
      </c>
    </row>
    <row r="41" ht="18.0" customHeight="1">
      <c r="A41" s="14" t="str">
        <f t="shared" si="1"/>
        <v/>
      </c>
      <c r="B41" s="27"/>
      <c r="C41" s="32"/>
      <c r="D41" s="32"/>
      <c r="E41" s="29"/>
      <c r="F41" s="30"/>
      <c r="G41" s="19" t="str">
        <f t="shared" si="2"/>
        <v/>
      </c>
      <c r="H41" s="32"/>
      <c r="I41" s="32"/>
      <c r="J41" s="30"/>
      <c r="K41" s="19" t="str">
        <f t="shared" si="3"/>
        <v/>
      </c>
      <c r="L41" s="19" t="str">
        <f t="shared" si="4"/>
        <v/>
      </c>
      <c r="M41" s="41" t="str">
        <f t="shared" si="5"/>
        <v/>
      </c>
    </row>
    <row r="42" ht="18.0" customHeight="1">
      <c r="A42" s="7" t="str">
        <f t="shared" si="1"/>
        <v/>
      </c>
      <c r="B42" s="23"/>
      <c r="C42" s="31"/>
      <c r="D42" s="31"/>
      <c r="E42" s="25"/>
      <c r="F42" s="26"/>
      <c r="G42" s="12" t="str">
        <f t="shared" si="2"/>
        <v/>
      </c>
      <c r="H42" s="31"/>
      <c r="I42" s="31"/>
      <c r="J42" s="26"/>
      <c r="K42" s="12" t="str">
        <f t="shared" si="3"/>
        <v/>
      </c>
      <c r="L42" s="12" t="str">
        <f t="shared" si="4"/>
        <v/>
      </c>
      <c r="M42" s="40" t="str">
        <f t="shared" si="5"/>
        <v/>
      </c>
    </row>
    <row r="43" ht="18.0" customHeight="1">
      <c r="A43" s="14" t="str">
        <f t="shared" si="1"/>
        <v/>
      </c>
      <c r="B43" s="27"/>
      <c r="C43" s="32"/>
      <c r="D43" s="32"/>
      <c r="E43" s="29"/>
      <c r="F43" s="30"/>
      <c r="G43" s="19" t="str">
        <f t="shared" si="2"/>
        <v/>
      </c>
      <c r="H43" s="32"/>
      <c r="I43" s="32"/>
      <c r="J43" s="30"/>
      <c r="K43" s="19" t="str">
        <f t="shared" si="3"/>
        <v/>
      </c>
      <c r="L43" s="19" t="str">
        <f t="shared" si="4"/>
        <v/>
      </c>
      <c r="M43" s="41" t="str">
        <f t="shared" si="5"/>
        <v/>
      </c>
    </row>
    <row r="44" ht="18.0" customHeight="1">
      <c r="A44" s="7" t="str">
        <f t="shared" si="1"/>
        <v/>
      </c>
      <c r="B44" s="23"/>
      <c r="C44" s="31"/>
      <c r="D44" s="31"/>
      <c r="E44" s="25"/>
      <c r="F44" s="26"/>
      <c r="G44" s="12" t="str">
        <f t="shared" si="2"/>
        <v/>
      </c>
      <c r="H44" s="31"/>
      <c r="I44" s="31"/>
      <c r="J44" s="26"/>
      <c r="K44" s="12" t="str">
        <f t="shared" si="3"/>
        <v/>
      </c>
      <c r="L44" s="12" t="str">
        <f t="shared" si="4"/>
        <v/>
      </c>
      <c r="M44" s="40" t="str">
        <f t="shared" si="5"/>
        <v/>
      </c>
    </row>
    <row r="45" ht="18.0" customHeight="1">
      <c r="A45" s="14" t="str">
        <f t="shared" si="1"/>
        <v/>
      </c>
      <c r="B45" s="27"/>
      <c r="C45" s="32"/>
      <c r="D45" s="32"/>
      <c r="E45" s="29"/>
      <c r="F45" s="30"/>
      <c r="G45" s="19" t="str">
        <f t="shared" si="2"/>
        <v/>
      </c>
      <c r="H45" s="32"/>
      <c r="I45" s="32"/>
      <c r="J45" s="30"/>
      <c r="K45" s="19" t="str">
        <f t="shared" si="3"/>
        <v/>
      </c>
      <c r="L45" s="19" t="str">
        <f t="shared" si="4"/>
        <v/>
      </c>
      <c r="M45" s="41" t="str">
        <f t="shared" si="5"/>
        <v/>
      </c>
    </row>
    <row r="46" ht="18.0" customHeight="1">
      <c r="A46" s="7" t="str">
        <f t="shared" si="1"/>
        <v/>
      </c>
      <c r="B46" s="23"/>
      <c r="C46" s="31"/>
      <c r="D46" s="31"/>
      <c r="E46" s="25"/>
      <c r="F46" s="26"/>
      <c r="G46" s="12" t="str">
        <f t="shared" si="2"/>
        <v/>
      </c>
      <c r="H46" s="31"/>
      <c r="I46" s="31"/>
      <c r="J46" s="26"/>
      <c r="K46" s="12" t="str">
        <f t="shared" si="3"/>
        <v/>
      </c>
      <c r="L46" s="12" t="str">
        <f t="shared" si="4"/>
        <v/>
      </c>
      <c r="M46" s="40" t="str">
        <f t="shared" si="5"/>
        <v/>
      </c>
    </row>
    <row r="47" ht="18.0" customHeight="1">
      <c r="A47" s="14" t="str">
        <f t="shared" si="1"/>
        <v/>
      </c>
      <c r="B47" s="27"/>
      <c r="C47" s="32"/>
      <c r="D47" s="32"/>
      <c r="E47" s="29"/>
      <c r="F47" s="30"/>
      <c r="G47" s="19" t="str">
        <f t="shared" si="2"/>
        <v/>
      </c>
      <c r="H47" s="32"/>
      <c r="I47" s="32"/>
      <c r="J47" s="30"/>
      <c r="K47" s="19" t="str">
        <f t="shared" si="3"/>
        <v/>
      </c>
      <c r="L47" s="19" t="str">
        <f t="shared" si="4"/>
        <v/>
      </c>
      <c r="M47" s="41" t="str">
        <f t="shared" si="5"/>
        <v/>
      </c>
    </row>
    <row r="48" ht="18.0" customHeight="1">
      <c r="A48" s="7" t="str">
        <f t="shared" si="1"/>
        <v/>
      </c>
      <c r="B48" s="23"/>
      <c r="C48" s="31"/>
      <c r="D48" s="31"/>
      <c r="E48" s="25"/>
      <c r="F48" s="26"/>
      <c r="G48" s="12" t="str">
        <f t="shared" si="2"/>
        <v/>
      </c>
      <c r="H48" s="31"/>
      <c r="I48" s="31"/>
      <c r="J48" s="26"/>
      <c r="K48" s="12" t="str">
        <f t="shared" si="3"/>
        <v/>
      </c>
      <c r="L48" s="12" t="str">
        <f t="shared" si="4"/>
        <v/>
      </c>
      <c r="M48" s="40" t="str">
        <f t="shared" si="5"/>
        <v/>
      </c>
    </row>
    <row r="49" ht="18.0" customHeight="1">
      <c r="A49" s="14" t="str">
        <f t="shared" si="1"/>
        <v/>
      </c>
      <c r="B49" s="27"/>
      <c r="C49" s="32"/>
      <c r="D49" s="32"/>
      <c r="E49" s="29"/>
      <c r="F49" s="30"/>
      <c r="G49" s="19" t="str">
        <f t="shared" si="2"/>
        <v/>
      </c>
      <c r="H49" s="32"/>
      <c r="I49" s="32"/>
      <c r="J49" s="30"/>
      <c r="K49" s="19" t="str">
        <f t="shared" si="3"/>
        <v/>
      </c>
      <c r="L49" s="19" t="str">
        <f t="shared" si="4"/>
        <v/>
      </c>
      <c r="M49" s="41" t="str">
        <f t="shared" si="5"/>
        <v/>
      </c>
    </row>
    <row r="50" ht="18.0" customHeight="1">
      <c r="A50" s="7" t="str">
        <f t="shared" si="1"/>
        <v/>
      </c>
      <c r="B50" s="23"/>
      <c r="C50" s="31"/>
      <c r="D50" s="31"/>
      <c r="E50" s="25"/>
      <c r="F50" s="26"/>
      <c r="G50" s="12" t="str">
        <f t="shared" si="2"/>
        <v/>
      </c>
      <c r="H50" s="31"/>
      <c r="I50" s="31"/>
      <c r="J50" s="26"/>
      <c r="K50" s="12" t="str">
        <f t="shared" si="3"/>
        <v/>
      </c>
      <c r="L50" s="12" t="str">
        <f t="shared" si="4"/>
        <v/>
      </c>
      <c r="M50" s="40" t="str">
        <f t="shared" si="5"/>
        <v/>
      </c>
    </row>
    <row r="51" ht="18.0" customHeight="1">
      <c r="A51" s="14" t="str">
        <f t="shared" si="1"/>
        <v/>
      </c>
      <c r="B51" s="27"/>
      <c r="C51" s="32"/>
      <c r="D51" s="32"/>
      <c r="E51" s="29"/>
      <c r="F51" s="30"/>
      <c r="G51" s="19" t="str">
        <f t="shared" si="2"/>
        <v/>
      </c>
      <c r="H51" s="32"/>
      <c r="I51" s="32"/>
      <c r="J51" s="30"/>
      <c r="K51" s="19" t="str">
        <f t="shared" si="3"/>
        <v/>
      </c>
      <c r="L51" s="19" t="str">
        <f t="shared" si="4"/>
        <v/>
      </c>
      <c r="M51" s="41" t="str">
        <f t="shared" si="5"/>
        <v/>
      </c>
    </row>
    <row r="52" ht="18.0" customHeight="1">
      <c r="A52" s="7" t="str">
        <f t="shared" si="1"/>
        <v/>
      </c>
      <c r="B52" s="23"/>
      <c r="C52" s="31"/>
      <c r="D52" s="31"/>
      <c r="E52" s="25"/>
      <c r="F52" s="26"/>
      <c r="G52" s="12" t="str">
        <f t="shared" si="2"/>
        <v/>
      </c>
      <c r="H52" s="31"/>
      <c r="I52" s="31"/>
      <c r="J52" s="26"/>
      <c r="K52" s="12" t="str">
        <f t="shared" si="3"/>
        <v/>
      </c>
      <c r="L52" s="12" t="str">
        <f t="shared" si="4"/>
        <v/>
      </c>
      <c r="M52" s="40" t="str">
        <f t="shared" si="5"/>
        <v/>
      </c>
    </row>
    <row r="53" ht="18.0" customHeight="1">
      <c r="A53" s="14" t="str">
        <f t="shared" si="1"/>
        <v/>
      </c>
      <c r="B53" s="27"/>
      <c r="C53" s="32"/>
      <c r="D53" s="32"/>
      <c r="E53" s="29"/>
      <c r="F53" s="30"/>
      <c r="G53" s="19" t="str">
        <f t="shared" si="2"/>
        <v/>
      </c>
      <c r="H53" s="32"/>
      <c r="I53" s="32"/>
      <c r="J53" s="30"/>
      <c r="K53" s="19" t="str">
        <f t="shared" si="3"/>
        <v/>
      </c>
      <c r="L53" s="19" t="str">
        <f t="shared" si="4"/>
        <v/>
      </c>
      <c r="M53" s="41" t="str">
        <f t="shared" si="5"/>
        <v/>
      </c>
    </row>
    <row r="54" ht="18.0" customHeight="1">
      <c r="A54" s="7" t="str">
        <f t="shared" si="1"/>
        <v/>
      </c>
      <c r="B54" s="23"/>
      <c r="C54" s="31"/>
      <c r="D54" s="31"/>
      <c r="E54" s="25"/>
      <c r="F54" s="26"/>
      <c r="G54" s="12" t="str">
        <f t="shared" si="2"/>
        <v/>
      </c>
      <c r="H54" s="31"/>
      <c r="I54" s="31"/>
      <c r="J54" s="26"/>
      <c r="K54" s="12" t="str">
        <f t="shared" si="3"/>
        <v/>
      </c>
      <c r="L54" s="12" t="str">
        <f t="shared" si="4"/>
        <v/>
      </c>
      <c r="M54" s="40" t="str">
        <f t="shared" si="5"/>
        <v/>
      </c>
    </row>
    <row r="55" ht="18.0" customHeight="1">
      <c r="A55" s="14" t="str">
        <f t="shared" si="1"/>
        <v/>
      </c>
      <c r="B55" s="27"/>
      <c r="C55" s="32"/>
      <c r="D55" s="32"/>
      <c r="E55" s="29"/>
      <c r="F55" s="30"/>
      <c r="G55" s="19" t="str">
        <f t="shared" si="2"/>
        <v/>
      </c>
      <c r="H55" s="32"/>
      <c r="I55" s="32"/>
      <c r="J55" s="30"/>
      <c r="K55" s="19" t="str">
        <f t="shared" si="3"/>
        <v/>
      </c>
      <c r="L55" s="19" t="str">
        <f t="shared" si="4"/>
        <v/>
      </c>
      <c r="M55" s="41" t="str">
        <f t="shared" si="5"/>
        <v/>
      </c>
    </row>
    <row r="56" ht="18.0" customHeight="1">
      <c r="A56" s="7" t="str">
        <f t="shared" si="1"/>
        <v/>
      </c>
      <c r="B56" s="23"/>
      <c r="C56" s="31"/>
      <c r="D56" s="31"/>
      <c r="E56" s="25"/>
      <c r="F56" s="26"/>
      <c r="G56" s="12" t="str">
        <f t="shared" si="2"/>
        <v/>
      </c>
      <c r="H56" s="31"/>
      <c r="I56" s="31"/>
      <c r="J56" s="26"/>
      <c r="K56" s="12" t="str">
        <f t="shared" si="3"/>
        <v/>
      </c>
      <c r="L56" s="12" t="str">
        <f t="shared" si="4"/>
        <v/>
      </c>
      <c r="M56" s="40" t="str">
        <f t="shared" si="5"/>
        <v/>
      </c>
    </row>
    <row r="57" ht="18.0" customHeight="1">
      <c r="A57" s="14" t="str">
        <f t="shared" si="1"/>
        <v/>
      </c>
      <c r="B57" s="27"/>
      <c r="C57" s="32"/>
      <c r="D57" s="32"/>
      <c r="E57" s="29"/>
      <c r="F57" s="30"/>
      <c r="G57" s="19" t="str">
        <f t="shared" si="2"/>
        <v/>
      </c>
      <c r="H57" s="32"/>
      <c r="I57" s="32"/>
      <c r="J57" s="30"/>
      <c r="K57" s="19" t="str">
        <f t="shared" si="3"/>
        <v/>
      </c>
      <c r="L57" s="19" t="str">
        <f t="shared" si="4"/>
        <v/>
      </c>
      <c r="M57" s="41" t="str">
        <f t="shared" si="5"/>
        <v/>
      </c>
    </row>
    <row r="58" ht="18.0" customHeight="1">
      <c r="A58" s="7" t="str">
        <f t="shared" si="1"/>
        <v/>
      </c>
      <c r="B58" s="23"/>
      <c r="C58" s="31"/>
      <c r="D58" s="31"/>
      <c r="E58" s="25"/>
      <c r="F58" s="26"/>
      <c r="G58" s="12" t="str">
        <f t="shared" si="2"/>
        <v/>
      </c>
      <c r="H58" s="31"/>
      <c r="I58" s="31"/>
      <c r="J58" s="26"/>
      <c r="K58" s="12" t="str">
        <f t="shared" si="3"/>
        <v/>
      </c>
      <c r="L58" s="12" t="str">
        <f t="shared" si="4"/>
        <v/>
      </c>
      <c r="M58" s="40" t="str">
        <f t="shared" si="5"/>
        <v/>
      </c>
    </row>
    <row r="59" ht="18.0" customHeight="1">
      <c r="A59" s="14" t="str">
        <f t="shared" si="1"/>
        <v/>
      </c>
      <c r="B59" s="27"/>
      <c r="C59" s="32"/>
      <c r="D59" s="32"/>
      <c r="E59" s="29"/>
      <c r="F59" s="30"/>
      <c r="G59" s="19" t="str">
        <f t="shared" si="2"/>
        <v/>
      </c>
      <c r="H59" s="32"/>
      <c r="I59" s="32"/>
      <c r="J59" s="30"/>
      <c r="K59" s="19" t="str">
        <f t="shared" si="3"/>
        <v/>
      </c>
      <c r="L59" s="19" t="str">
        <f t="shared" si="4"/>
        <v/>
      </c>
      <c r="M59" s="41" t="str">
        <f t="shared" si="5"/>
        <v/>
      </c>
    </row>
    <row r="60" ht="18.0" customHeight="1">
      <c r="A60" s="7" t="str">
        <f t="shared" si="1"/>
        <v/>
      </c>
      <c r="B60" s="23"/>
      <c r="C60" s="31"/>
      <c r="D60" s="31"/>
      <c r="E60" s="25"/>
      <c r="F60" s="26"/>
      <c r="G60" s="12" t="str">
        <f t="shared" si="2"/>
        <v/>
      </c>
      <c r="H60" s="31"/>
      <c r="I60" s="31"/>
      <c r="J60" s="26"/>
      <c r="K60" s="12" t="str">
        <f t="shared" si="3"/>
        <v/>
      </c>
      <c r="L60" s="12" t="str">
        <f t="shared" si="4"/>
        <v/>
      </c>
      <c r="M60" s="40" t="str">
        <f t="shared" si="5"/>
        <v/>
      </c>
    </row>
    <row r="61" ht="18.0" customHeight="1">
      <c r="A61" s="14" t="str">
        <f t="shared" si="1"/>
        <v/>
      </c>
      <c r="B61" s="27"/>
      <c r="C61" s="32"/>
      <c r="D61" s="32"/>
      <c r="E61" s="29"/>
      <c r="F61" s="30"/>
      <c r="G61" s="19" t="str">
        <f t="shared" si="2"/>
        <v/>
      </c>
      <c r="H61" s="32"/>
      <c r="I61" s="32"/>
      <c r="J61" s="30"/>
      <c r="K61" s="19" t="str">
        <f t="shared" si="3"/>
        <v/>
      </c>
      <c r="L61" s="19" t="str">
        <f t="shared" si="4"/>
        <v/>
      </c>
      <c r="M61" s="41" t="str">
        <f t="shared" si="5"/>
        <v/>
      </c>
    </row>
    <row r="62" ht="18.0" customHeight="1">
      <c r="A62" s="7" t="str">
        <f t="shared" si="1"/>
        <v/>
      </c>
      <c r="B62" s="23"/>
      <c r="C62" s="31"/>
      <c r="D62" s="31"/>
      <c r="E62" s="25"/>
      <c r="F62" s="26"/>
      <c r="G62" s="12" t="str">
        <f t="shared" si="2"/>
        <v/>
      </c>
      <c r="H62" s="31"/>
      <c r="I62" s="31"/>
      <c r="J62" s="26"/>
      <c r="K62" s="12" t="str">
        <f t="shared" si="3"/>
        <v/>
      </c>
      <c r="L62" s="12" t="str">
        <f t="shared" si="4"/>
        <v/>
      </c>
      <c r="M62" s="40" t="str">
        <f t="shared" si="5"/>
        <v/>
      </c>
    </row>
    <row r="63" ht="18.0" customHeight="1">
      <c r="A63" s="14" t="str">
        <f t="shared" si="1"/>
        <v/>
      </c>
      <c r="B63" s="27"/>
      <c r="C63" s="32"/>
      <c r="D63" s="32"/>
      <c r="E63" s="29"/>
      <c r="F63" s="30"/>
      <c r="G63" s="19" t="str">
        <f t="shared" si="2"/>
        <v/>
      </c>
      <c r="H63" s="32"/>
      <c r="I63" s="32"/>
      <c r="J63" s="30"/>
      <c r="K63" s="19" t="str">
        <f t="shared" si="3"/>
        <v/>
      </c>
      <c r="L63" s="19" t="str">
        <f t="shared" si="4"/>
        <v/>
      </c>
      <c r="M63" s="41" t="str">
        <f t="shared" si="5"/>
        <v/>
      </c>
    </row>
    <row r="64" ht="18.0" customHeight="1">
      <c r="A64" s="7" t="str">
        <f t="shared" si="1"/>
        <v/>
      </c>
      <c r="B64" s="23"/>
      <c r="C64" s="31"/>
      <c r="D64" s="31"/>
      <c r="E64" s="25"/>
      <c r="F64" s="26"/>
      <c r="G64" s="12" t="str">
        <f t="shared" si="2"/>
        <v/>
      </c>
      <c r="H64" s="31"/>
      <c r="I64" s="31"/>
      <c r="J64" s="26"/>
      <c r="K64" s="12" t="str">
        <f t="shared" si="3"/>
        <v/>
      </c>
      <c r="L64" s="12" t="str">
        <f t="shared" si="4"/>
        <v/>
      </c>
      <c r="M64" s="40" t="str">
        <f t="shared" si="5"/>
        <v/>
      </c>
    </row>
    <row r="65" ht="18.0" customHeight="1">
      <c r="A65" s="14" t="str">
        <f t="shared" si="1"/>
        <v/>
      </c>
      <c r="B65" s="27"/>
      <c r="C65" s="32"/>
      <c r="D65" s="32"/>
      <c r="E65" s="29"/>
      <c r="F65" s="30"/>
      <c r="G65" s="19" t="str">
        <f t="shared" si="2"/>
        <v/>
      </c>
      <c r="H65" s="32"/>
      <c r="I65" s="32"/>
      <c r="J65" s="30"/>
      <c r="K65" s="19" t="str">
        <f t="shared" si="3"/>
        <v/>
      </c>
      <c r="L65" s="19" t="str">
        <f t="shared" si="4"/>
        <v/>
      </c>
      <c r="M65" s="41" t="str">
        <f t="shared" si="5"/>
        <v/>
      </c>
    </row>
    <row r="66" ht="18.0" customHeight="1">
      <c r="A66" s="7" t="str">
        <f t="shared" si="1"/>
        <v/>
      </c>
      <c r="B66" s="23"/>
      <c r="C66" s="31"/>
      <c r="D66" s="31"/>
      <c r="E66" s="25"/>
      <c r="F66" s="26"/>
      <c r="G66" s="12" t="str">
        <f t="shared" si="2"/>
        <v/>
      </c>
      <c r="H66" s="31"/>
      <c r="I66" s="31"/>
      <c r="J66" s="26"/>
      <c r="K66" s="12" t="str">
        <f t="shared" si="3"/>
        <v/>
      </c>
      <c r="L66" s="12" t="str">
        <f t="shared" si="4"/>
        <v/>
      </c>
      <c r="M66" s="40" t="str">
        <f t="shared" si="5"/>
        <v/>
      </c>
    </row>
    <row r="67" ht="18.0" customHeight="1">
      <c r="A67" s="14" t="str">
        <f t="shared" si="1"/>
        <v/>
      </c>
      <c r="B67" s="27"/>
      <c r="C67" s="32"/>
      <c r="D67" s="32"/>
      <c r="E67" s="29"/>
      <c r="F67" s="30"/>
      <c r="G67" s="19" t="str">
        <f t="shared" si="2"/>
        <v/>
      </c>
      <c r="H67" s="32"/>
      <c r="I67" s="32"/>
      <c r="J67" s="30"/>
      <c r="K67" s="19" t="str">
        <f t="shared" si="3"/>
        <v/>
      </c>
      <c r="L67" s="19" t="str">
        <f t="shared" si="4"/>
        <v/>
      </c>
      <c r="M67" s="41" t="str">
        <f t="shared" si="5"/>
        <v/>
      </c>
    </row>
    <row r="68" ht="18.0" customHeight="1">
      <c r="A68" s="7" t="str">
        <f t="shared" si="1"/>
        <v/>
      </c>
      <c r="B68" s="23"/>
      <c r="C68" s="31"/>
      <c r="D68" s="31"/>
      <c r="E68" s="25"/>
      <c r="F68" s="26"/>
      <c r="G68" s="12" t="str">
        <f t="shared" si="2"/>
        <v/>
      </c>
      <c r="H68" s="31"/>
      <c r="I68" s="31"/>
      <c r="J68" s="26"/>
      <c r="K68" s="12" t="str">
        <f t="shared" si="3"/>
        <v/>
      </c>
      <c r="L68" s="12" t="str">
        <f t="shared" si="4"/>
        <v/>
      </c>
      <c r="M68" s="40" t="str">
        <f t="shared" si="5"/>
        <v/>
      </c>
    </row>
    <row r="69" ht="18.0" customHeight="1">
      <c r="A69" s="14" t="str">
        <f t="shared" si="1"/>
        <v/>
      </c>
      <c r="B69" s="27"/>
      <c r="C69" s="32"/>
      <c r="D69" s="32"/>
      <c r="E69" s="29"/>
      <c r="F69" s="30"/>
      <c r="G69" s="19" t="str">
        <f t="shared" si="2"/>
        <v/>
      </c>
      <c r="H69" s="32"/>
      <c r="I69" s="32"/>
      <c r="J69" s="30"/>
      <c r="K69" s="19" t="str">
        <f t="shared" si="3"/>
        <v/>
      </c>
      <c r="L69" s="19" t="str">
        <f t="shared" si="4"/>
        <v/>
      </c>
      <c r="M69" s="41" t="str">
        <f t="shared" si="5"/>
        <v/>
      </c>
    </row>
    <row r="70" ht="18.0" customHeight="1">
      <c r="A70" s="7" t="str">
        <f t="shared" si="1"/>
        <v/>
      </c>
      <c r="B70" s="23"/>
      <c r="C70" s="31"/>
      <c r="D70" s="31"/>
      <c r="E70" s="25"/>
      <c r="F70" s="26"/>
      <c r="G70" s="12" t="str">
        <f t="shared" si="2"/>
        <v/>
      </c>
      <c r="H70" s="31"/>
      <c r="I70" s="31"/>
      <c r="J70" s="26"/>
      <c r="K70" s="12" t="str">
        <f t="shared" si="3"/>
        <v/>
      </c>
      <c r="L70" s="12" t="str">
        <f t="shared" si="4"/>
        <v/>
      </c>
      <c r="M70" s="40" t="str">
        <f t="shared" si="5"/>
        <v/>
      </c>
    </row>
    <row r="71" ht="18.0" customHeight="1">
      <c r="A71" s="14" t="str">
        <f t="shared" si="1"/>
        <v/>
      </c>
      <c r="B71" s="27"/>
      <c r="C71" s="32"/>
      <c r="D71" s="32"/>
      <c r="E71" s="29"/>
      <c r="F71" s="30"/>
      <c r="G71" s="19" t="str">
        <f t="shared" si="2"/>
        <v/>
      </c>
      <c r="H71" s="32"/>
      <c r="I71" s="32"/>
      <c r="J71" s="30"/>
      <c r="K71" s="19" t="str">
        <f t="shared" si="3"/>
        <v/>
      </c>
      <c r="L71" s="19" t="str">
        <f t="shared" si="4"/>
        <v/>
      </c>
      <c r="M71" s="41" t="str">
        <f t="shared" si="5"/>
        <v/>
      </c>
    </row>
    <row r="72" ht="18.0" customHeight="1">
      <c r="A72" s="7" t="str">
        <f t="shared" si="1"/>
        <v/>
      </c>
      <c r="B72" s="23"/>
      <c r="C72" s="31"/>
      <c r="D72" s="31"/>
      <c r="E72" s="25"/>
      <c r="F72" s="26"/>
      <c r="G72" s="12" t="str">
        <f t="shared" si="2"/>
        <v/>
      </c>
      <c r="H72" s="31"/>
      <c r="I72" s="31"/>
      <c r="J72" s="26"/>
      <c r="K72" s="12" t="str">
        <f t="shared" si="3"/>
        <v/>
      </c>
      <c r="L72" s="12" t="str">
        <f t="shared" si="4"/>
        <v/>
      </c>
      <c r="M72" s="40" t="str">
        <f t="shared" si="5"/>
        <v/>
      </c>
    </row>
    <row r="73" ht="18.0" customHeight="1">
      <c r="A73" s="14" t="str">
        <f t="shared" si="1"/>
        <v/>
      </c>
      <c r="B73" s="27"/>
      <c r="C73" s="32"/>
      <c r="D73" s="32"/>
      <c r="E73" s="29"/>
      <c r="F73" s="30"/>
      <c r="G73" s="19" t="str">
        <f t="shared" si="2"/>
        <v/>
      </c>
      <c r="H73" s="32"/>
      <c r="I73" s="32"/>
      <c r="J73" s="30"/>
      <c r="K73" s="19" t="str">
        <f t="shared" si="3"/>
        <v/>
      </c>
      <c r="L73" s="19" t="str">
        <f t="shared" si="4"/>
        <v/>
      </c>
      <c r="M73" s="41" t="str">
        <f t="shared" si="5"/>
        <v/>
      </c>
    </row>
    <row r="74" ht="18.0" customHeight="1">
      <c r="A74" s="7" t="str">
        <f t="shared" si="1"/>
        <v/>
      </c>
      <c r="B74" s="23"/>
      <c r="C74" s="31"/>
      <c r="D74" s="31"/>
      <c r="E74" s="25"/>
      <c r="F74" s="26"/>
      <c r="G74" s="12" t="str">
        <f t="shared" si="2"/>
        <v/>
      </c>
      <c r="H74" s="31"/>
      <c r="I74" s="31"/>
      <c r="J74" s="26"/>
      <c r="K74" s="12" t="str">
        <f t="shared" si="3"/>
        <v/>
      </c>
      <c r="L74" s="12" t="str">
        <f t="shared" si="4"/>
        <v/>
      </c>
      <c r="M74" s="40" t="str">
        <f t="shared" si="5"/>
        <v/>
      </c>
    </row>
    <row r="75" ht="18.0" customHeight="1">
      <c r="A75" s="14" t="str">
        <f t="shared" si="1"/>
        <v/>
      </c>
      <c r="B75" s="27"/>
      <c r="C75" s="32"/>
      <c r="D75" s="32"/>
      <c r="E75" s="29"/>
      <c r="F75" s="30"/>
      <c r="G75" s="19" t="str">
        <f t="shared" si="2"/>
        <v/>
      </c>
      <c r="H75" s="32"/>
      <c r="I75" s="32"/>
      <c r="J75" s="30"/>
      <c r="K75" s="19" t="str">
        <f t="shared" si="3"/>
        <v/>
      </c>
      <c r="L75" s="19" t="str">
        <f t="shared" si="4"/>
        <v/>
      </c>
      <c r="M75" s="41" t="str">
        <f t="shared" si="5"/>
        <v/>
      </c>
    </row>
    <row r="76" ht="18.0" customHeight="1">
      <c r="A76" s="7" t="str">
        <f t="shared" si="1"/>
        <v/>
      </c>
      <c r="B76" s="23"/>
      <c r="C76" s="31"/>
      <c r="D76" s="31"/>
      <c r="E76" s="25"/>
      <c r="F76" s="26"/>
      <c r="G76" s="12" t="str">
        <f t="shared" si="2"/>
        <v/>
      </c>
      <c r="H76" s="31"/>
      <c r="I76" s="31"/>
      <c r="J76" s="26"/>
      <c r="K76" s="12" t="str">
        <f t="shared" si="3"/>
        <v/>
      </c>
      <c r="L76" s="12" t="str">
        <f t="shared" si="4"/>
        <v/>
      </c>
      <c r="M76" s="40" t="str">
        <f t="shared" si="5"/>
        <v/>
      </c>
    </row>
    <row r="77" ht="18.0" customHeight="1">
      <c r="A77" s="14" t="str">
        <f t="shared" si="1"/>
        <v/>
      </c>
      <c r="B77" s="27"/>
      <c r="C77" s="32"/>
      <c r="D77" s="32"/>
      <c r="E77" s="29"/>
      <c r="F77" s="30"/>
      <c r="G77" s="19" t="str">
        <f t="shared" si="2"/>
        <v/>
      </c>
      <c r="H77" s="32"/>
      <c r="I77" s="32"/>
      <c r="J77" s="30"/>
      <c r="K77" s="19" t="str">
        <f t="shared" si="3"/>
        <v/>
      </c>
      <c r="L77" s="19" t="str">
        <f t="shared" si="4"/>
        <v/>
      </c>
      <c r="M77" s="41" t="str">
        <f t="shared" si="5"/>
        <v/>
      </c>
    </row>
    <row r="78" ht="18.0" customHeight="1">
      <c r="A78" s="7" t="str">
        <f t="shared" si="1"/>
        <v/>
      </c>
      <c r="B78" s="23"/>
      <c r="C78" s="31"/>
      <c r="D78" s="31"/>
      <c r="E78" s="25"/>
      <c r="F78" s="26"/>
      <c r="G78" s="12" t="str">
        <f t="shared" si="2"/>
        <v/>
      </c>
      <c r="H78" s="31"/>
      <c r="I78" s="31"/>
      <c r="J78" s="26"/>
      <c r="K78" s="12" t="str">
        <f t="shared" si="3"/>
        <v/>
      </c>
      <c r="L78" s="12" t="str">
        <f t="shared" si="4"/>
        <v/>
      </c>
      <c r="M78" s="40" t="str">
        <f t="shared" si="5"/>
        <v/>
      </c>
    </row>
    <row r="79" ht="24.0" customHeight="1">
      <c r="A79" s="33" t="s">
        <v>65</v>
      </c>
      <c r="B79" s="2"/>
      <c r="C79" s="2"/>
      <c r="D79" s="2"/>
      <c r="E79" s="2"/>
      <c r="F79" s="3"/>
      <c r="G79" s="34">
        <f>SUM(G4:G78)</f>
        <v>1621.06</v>
      </c>
      <c r="H79" s="43"/>
      <c r="I79" s="43"/>
      <c r="J79" s="43"/>
      <c r="K79" s="34">
        <f t="shared" ref="K79:L79" si="6">SUM(K4:K78)</f>
        <v>750.16</v>
      </c>
      <c r="L79" s="34">
        <f t="shared" si="6"/>
        <v>870.9</v>
      </c>
      <c r="M79" s="44">
        <f>IFERROR(L79/G79,"")</f>
        <v>0.5372410645</v>
      </c>
    </row>
    <row r="80" ht="15.75" customHeight="1"/>
    <row r="81" ht="15.75" customHeight="1">
      <c r="A81" s="45" t="s">
        <v>66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3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M1"/>
    <mergeCell ref="A2:M2"/>
    <mergeCell ref="A79:F79"/>
    <mergeCell ref="A81:M8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235A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0"/>
    <col customWidth="1" min="2" max="2" width="14.0"/>
    <col customWidth="1" min="3" max="3" width="24.0"/>
    <col customWidth="1" min="4" max="4" width="14.0"/>
    <col customWidth="1" min="5" max="5" width="12.0"/>
    <col customWidth="1" min="6" max="6" width="13.0"/>
    <col customWidth="1" min="7" max="7" width="16.0"/>
    <col customWidth="1" min="8" max="8" width="9.0"/>
    <col customWidth="1" min="9" max="9" width="22.0"/>
    <col customWidth="1" min="10" max="26" width="8.71"/>
  </cols>
  <sheetData>
    <row r="1" ht="37.5" customHeight="1">
      <c r="A1" s="46" t="s">
        <v>67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47" t="s">
        <v>68</v>
      </c>
      <c r="B2" s="2"/>
      <c r="C2" s="2"/>
      <c r="D2" s="2"/>
      <c r="E2" s="2"/>
      <c r="F2" s="2"/>
      <c r="G2" s="2"/>
      <c r="H2" s="2"/>
      <c r="I2" s="3"/>
    </row>
    <row r="3" ht="24.0" customHeight="1">
      <c r="A3" s="5" t="s">
        <v>1</v>
      </c>
      <c r="B3" s="48" t="s">
        <v>10</v>
      </c>
      <c r="C3" s="48" t="s">
        <v>3</v>
      </c>
      <c r="D3" s="48" t="s">
        <v>4</v>
      </c>
      <c r="E3" s="5" t="s">
        <v>69</v>
      </c>
      <c r="F3" s="5" t="s">
        <v>6</v>
      </c>
      <c r="G3" s="5" t="s">
        <v>70</v>
      </c>
      <c r="H3" s="48" t="s">
        <v>71</v>
      </c>
      <c r="I3" s="48" t="s">
        <v>12</v>
      </c>
    </row>
    <row r="4" ht="18.0" customHeight="1">
      <c r="A4" s="7">
        <f t="shared" ref="A4:A78" si="1">IF(B4="","",ROW()-3)</f>
        <v>1</v>
      </c>
      <c r="B4" s="9" t="s">
        <v>22</v>
      </c>
      <c r="C4" s="9" t="s">
        <v>19</v>
      </c>
      <c r="D4" s="9" t="s">
        <v>14</v>
      </c>
      <c r="E4" s="10">
        <v>2.0</v>
      </c>
      <c r="F4" s="11">
        <v>70.0</v>
      </c>
      <c r="G4" s="12">
        <f t="shared" ref="G4:G78" si="2">IF(OR(E4="",F4=""),"",E4*F4)</f>
        <v>140</v>
      </c>
      <c r="H4" s="49" t="s">
        <v>72</v>
      </c>
      <c r="I4" s="13"/>
    </row>
    <row r="5" ht="18.0" customHeight="1">
      <c r="A5" s="14">
        <f t="shared" si="1"/>
        <v>2</v>
      </c>
      <c r="B5" s="16" t="s">
        <v>25</v>
      </c>
      <c r="C5" s="16" t="s">
        <v>23</v>
      </c>
      <c r="D5" s="16" t="s">
        <v>14</v>
      </c>
      <c r="E5" s="17">
        <v>3.0</v>
      </c>
      <c r="F5" s="18">
        <v>50.0</v>
      </c>
      <c r="G5" s="19">
        <f t="shared" si="2"/>
        <v>150</v>
      </c>
      <c r="H5" s="50" t="s">
        <v>72</v>
      </c>
      <c r="I5" s="51" t="s">
        <v>73</v>
      </c>
    </row>
    <row r="6" ht="18.0" customHeight="1">
      <c r="A6" s="7">
        <f t="shared" si="1"/>
        <v>3</v>
      </c>
      <c r="B6" s="9" t="s">
        <v>31</v>
      </c>
      <c r="C6" s="9" t="s">
        <v>29</v>
      </c>
      <c r="D6" s="9" t="s">
        <v>14</v>
      </c>
      <c r="E6" s="10">
        <v>2.0</v>
      </c>
      <c r="F6" s="26"/>
      <c r="G6" s="12" t="str">
        <f t="shared" si="2"/>
        <v/>
      </c>
      <c r="H6" s="49" t="s">
        <v>72</v>
      </c>
      <c r="I6" s="13"/>
    </row>
    <row r="7" ht="18.0" customHeight="1">
      <c r="A7" s="14">
        <f t="shared" si="1"/>
        <v>4</v>
      </c>
      <c r="B7" s="16" t="s">
        <v>33</v>
      </c>
      <c r="C7" s="16" t="s">
        <v>32</v>
      </c>
      <c r="D7" s="16" t="s">
        <v>14</v>
      </c>
      <c r="E7" s="17">
        <v>2.0</v>
      </c>
      <c r="F7" s="30"/>
      <c r="G7" s="19" t="str">
        <f t="shared" si="2"/>
        <v/>
      </c>
      <c r="H7" s="50" t="s">
        <v>72</v>
      </c>
      <c r="I7" s="21"/>
    </row>
    <row r="8" ht="18.0" customHeight="1">
      <c r="A8" s="7">
        <f t="shared" si="1"/>
        <v>5</v>
      </c>
      <c r="B8" s="9" t="s">
        <v>35</v>
      </c>
      <c r="C8" s="9" t="s">
        <v>74</v>
      </c>
      <c r="D8" s="9" t="s">
        <v>14</v>
      </c>
      <c r="E8" s="10">
        <v>1.0</v>
      </c>
      <c r="F8" s="26"/>
      <c r="G8" s="12" t="str">
        <f t="shared" si="2"/>
        <v/>
      </c>
      <c r="H8" s="49" t="s">
        <v>72</v>
      </c>
      <c r="I8" s="13"/>
    </row>
    <row r="9" ht="18.0" customHeight="1">
      <c r="A9" s="14">
        <f t="shared" si="1"/>
        <v>6</v>
      </c>
      <c r="B9" s="16" t="s">
        <v>39</v>
      </c>
      <c r="C9" s="16" t="s">
        <v>36</v>
      </c>
      <c r="D9" s="16" t="s">
        <v>14</v>
      </c>
      <c r="E9" s="17">
        <v>5.0</v>
      </c>
      <c r="F9" s="30"/>
      <c r="G9" s="19" t="str">
        <f t="shared" si="2"/>
        <v/>
      </c>
      <c r="H9" s="52"/>
      <c r="I9" s="51" t="s">
        <v>73</v>
      </c>
    </row>
    <row r="10" ht="18.0" customHeight="1">
      <c r="A10" s="7">
        <f t="shared" si="1"/>
        <v>7</v>
      </c>
      <c r="B10" s="9" t="s">
        <v>41</v>
      </c>
      <c r="C10" s="9" t="s">
        <v>40</v>
      </c>
      <c r="D10" s="9" t="s">
        <v>14</v>
      </c>
      <c r="E10" s="10">
        <v>2.0</v>
      </c>
      <c r="F10" s="11">
        <v>42.5</v>
      </c>
      <c r="G10" s="12">
        <f t="shared" si="2"/>
        <v>85</v>
      </c>
      <c r="H10" s="49" t="s">
        <v>75</v>
      </c>
      <c r="I10" s="53" t="s">
        <v>76</v>
      </c>
    </row>
    <row r="11" ht="18.0" customHeight="1">
      <c r="A11" s="14" t="str">
        <f t="shared" si="1"/>
        <v/>
      </c>
      <c r="B11" s="32"/>
      <c r="C11" s="32"/>
      <c r="D11" s="32"/>
      <c r="E11" s="29"/>
      <c r="F11" s="30"/>
      <c r="G11" s="19" t="str">
        <f t="shared" si="2"/>
        <v/>
      </c>
      <c r="H11" s="52"/>
      <c r="I11" s="21"/>
    </row>
    <row r="12" ht="18.0" customHeight="1">
      <c r="A12" s="7" t="str">
        <f t="shared" si="1"/>
        <v/>
      </c>
      <c r="B12" s="31"/>
      <c r="C12" s="31"/>
      <c r="D12" s="31"/>
      <c r="E12" s="25"/>
      <c r="F12" s="26"/>
      <c r="G12" s="12" t="str">
        <f t="shared" si="2"/>
        <v/>
      </c>
      <c r="H12" s="54"/>
      <c r="I12" s="13"/>
    </row>
    <row r="13" ht="18.0" customHeight="1">
      <c r="A13" s="14" t="str">
        <f t="shared" si="1"/>
        <v/>
      </c>
      <c r="B13" s="32"/>
      <c r="C13" s="32"/>
      <c r="D13" s="32"/>
      <c r="E13" s="29"/>
      <c r="F13" s="30"/>
      <c r="G13" s="19" t="str">
        <f t="shared" si="2"/>
        <v/>
      </c>
      <c r="H13" s="52"/>
      <c r="I13" s="21"/>
    </row>
    <row r="14" ht="18.0" customHeight="1">
      <c r="A14" s="7" t="str">
        <f t="shared" si="1"/>
        <v/>
      </c>
      <c r="B14" s="31"/>
      <c r="C14" s="31"/>
      <c r="D14" s="31"/>
      <c r="E14" s="25"/>
      <c r="F14" s="26"/>
      <c r="G14" s="12" t="str">
        <f t="shared" si="2"/>
        <v/>
      </c>
      <c r="H14" s="54"/>
      <c r="I14" s="13"/>
    </row>
    <row r="15" ht="18.0" customHeight="1">
      <c r="A15" s="14" t="str">
        <f t="shared" si="1"/>
        <v/>
      </c>
      <c r="B15" s="32"/>
      <c r="C15" s="32"/>
      <c r="D15" s="32"/>
      <c r="E15" s="29"/>
      <c r="F15" s="30"/>
      <c r="G15" s="19" t="str">
        <f t="shared" si="2"/>
        <v/>
      </c>
      <c r="H15" s="52"/>
      <c r="I15" s="21"/>
    </row>
    <row r="16" ht="18.0" customHeight="1">
      <c r="A16" s="7" t="str">
        <f t="shared" si="1"/>
        <v/>
      </c>
      <c r="B16" s="31"/>
      <c r="C16" s="31"/>
      <c r="D16" s="31"/>
      <c r="E16" s="25"/>
      <c r="F16" s="26"/>
      <c r="G16" s="12" t="str">
        <f t="shared" si="2"/>
        <v/>
      </c>
      <c r="H16" s="54"/>
      <c r="I16" s="13"/>
    </row>
    <row r="17" ht="18.0" customHeight="1">
      <c r="A17" s="14" t="str">
        <f t="shared" si="1"/>
        <v/>
      </c>
      <c r="B17" s="32"/>
      <c r="C17" s="32"/>
      <c r="D17" s="32"/>
      <c r="E17" s="29"/>
      <c r="F17" s="30"/>
      <c r="G17" s="19" t="str">
        <f t="shared" si="2"/>
        <v/>
      </c>
      <c r="H17" s="52"/>
      <c r="I17" s="21"/>
    </row>
    <row r="18" ht="18.0" customHeight="1">
      <c r="A18" s="7" t="str">
        <f t="shared" si="1"/>
        <v/>
      </c>
      <c r="B18" s="31"/>
      <c r="C18" s="31"/>
      <c r="D18" s="31"/>
      <c r="E18" s="25"/>
      <c r="F18" s="26"/>
      <c r="G18" s="12" t="str">
        <f t="shared" si="2"/>
        <v/>
      </c>
      <c r="H18" s="54"/>
      <c r="I18" s="13"/>
    </row>
    <row r="19" ht="18.0" customHeight="1">
      <c r="A19" s="14" t="str">
        <f t="shared" si="1"/>
        <v/>
      </c>
      <c r="B19" s="32"/>
      <c r="C19" s="32"/>
      <c r="D19" s="32"/>
      <c r="E19" s="29"/>
      <c r="F19" s="30"/>
      <c r="G19" s="19" t="str">
        <f t="shared" si="2"/>
        <v/>
      </c>
      <c r="H19" s="52"/>
      <c r="I19" s="21"/>
    </row>
    <row r="20" ht="18.0" customHeight="1">
      <c r="A20" s="7" t="str">
        <f t="shared" si="1"/>
        <v/>
      </c>
      <c r="B20" s="31"/>
      <c r="C20" s="31"/>
      <c r="D20" s="31"/>
      <c r="E20" s="25"/>
      <c r="F20" s="26"/>
      <c r="G20" s="12" t="str">
        <f t="shared" si="2"/>
        <v/>
      </c>
      <c r="H20" s="54"/>
      <c r="I20" s="13"/>
    </row>
    <row r="21" ht="18.0" customHeight="1">
      <c r="A21" s="14" t="str">
        <f t="shared" si="1"/>
        <v/>
      </c>
      <c r="B21" s="32"/>
      <c r="C21" s="32"/>
      <c r="D21" s="32"/>
      <c r="E21" s="29"/>
      <c r="F21" s="30"/>
      <c r="G21" s="19" t="str">
        <f t="shared" si="2"/>
        <v/>
      </c>
      <c r="H21" s="52"/>
      <c r="I21" s="21"/>
    </row>
    <row r="22" ht="18.0" customHeight="1">
      <c r="A22" s="7" t="str">
        <f t="shared" si="1"/>
        <v/>
      </c>
      <c r="B22" s="31"/>
      <c r="C22" s="31"/>
      <c r="D22" s="31"/>
      <c r="E22" s="25"/>
      <c r="F22" s="26"/>
      <c r="G22" s="12" t="str">
        <f t="shared" si="2"/>
        <v/>
      </c>
      <c r="H22" s="54"/>
      <c r="I22" s="13"/>
    </row>
    <row r="23" ht="18.0" customHeight="1">
      <c r="A23" s="14" t="str">
        <f t="shared" si="1"/>
        <v/>
      </c>
      <c r="B23" s="32"/>
      <c r="C23" s="32"/>
      <c r="D23" s="32"/>
      <c r="E23" s="29"/>
      <c r="F23" s="30"/>
      <c r="G23" s="19" t="str">
        <f t="shared" si="2"/>
        <v/>
      </c>
      <c r="H23" s="52"/>
      <c r="I23" s="21"/>
    </row>
    <row r="24" ht="18.0" customHeight="1">
      <c r="A24" s="7" t="str">
        <f t="shared" si="1"/>
        <v/>
      </c>
      <c r="B24" s="31"/>
      <c r="C24" s="31"/>
      <c r="D24" s="31"/>
      <c r="E24" s="25"/>
      <c r="F24" s="26"/>
      <c r="G24" s="12" t="str">
        <f t="shared" si="2"/>
        <v/>
      </c>
      <c r="H24" s="54"/>
      <c r="I24" s="13"/>
    </row>
    <row r="25" ht="18.0" customHeight="1">
      <c r="A25" s="14" t="str">
        <f t="shared" si="1"/>
        <v/>
      </c>
      <c r="B25" s="32"/>
      <c r="C25" s="32"/>
      <c r="D25" s="32"/>
      <c r="E25" s="29"/>
      <c r="F25" s="30"/>
      <c r="G25" s="19" t="str">
        <f t="shared" si="2"/>
        <v/>
      </c>
      <c r="H25" s="52"/>
      <c r="I25" s="21"/>
    </row>
    <row r="26" ht="18.0" customHeight="1">
      <c r="A26" s="7" t="str">
        <f t="shared" si="1"/>
        <v/>
      </c>
      <c r="B26" s="31"/>
      <c r="C26" s="31"/>
      <c r="D26" s="31"/>
      <c r="E26" s="25"/>
      <c r="F26" s="26"/>
      <c r="G26" s="12" t="str">
        <f t="shared" si="2"/>
        <v/>
      </c>
      <c r="H26" s="54"/>
      <c r="I26" s="13"/>
    </row>
    <row r="27" ht="18.0" customHeight="1">
      <c r="A27" s="14" t="str">
        <f t="shared" si="1"/>
        <v/>
      </c>
      <c r="B27" s="32"/>
      <c r="C27" s="32"/>
      <c r="D27" s="32"/>
      <c r="E27" s="29"/>
      <c r="F27" s="30"/>
      <c r="G27" s="19" t="str">
        <f t="shared" si="2"/>
        <v/>
      </c>
      <c r="H27" s="52"/>
      <c r="I27" s="21"/>
    </row>
    <row r="28" ht="18.0" customHeight="1">
      <c r="A28" s="7" t="str">
        <f t="shared" si="1"/>
        <v/>
      </c>
      <c r="B28" s="31"/>
      <c r="C28" s="31"/>
      <c r="D28" s="31"/>
      <c r="E28" s="25"/>
      <c r="F28" s="26"/>
      <c r="G28" s="12" t="str">
        <f t="shared" si="2"/>
        <v/>
      </c>
      <c r="H28" s="54"/>
      <c r="I28" s="13"/>
    </row>
    <row r="29" ht="18.0" customHeight="1">
      <c r="A29" s="14" t="str">
        <f t="shared" si="1"/>
        <v/>
      </c>
      <c r="B29" s="32"/>
      <c r="C29" s="32"/>
      <c r="D29" s="32"/>
      <c r="E29" s="29"/>
      <c r="F29" s="30"/>
      <c r="G29" s="19" t="str">
        <f t="shared" si="2"/>
        <v/>
      </c>
      <c r="H29" s="52"/>
      <c r="I29" s="21"/>
    </row>
    <row r="30" ht="18.0" customHeight="1">
      <c r="A30" s="7" t="str">
        <f t="shared" si="1"/>
        <v/>
      </c>
      <c r="B30" s="31"/>
      <c r="C30" s="31"/>
      <c r="D30" s="31"/>
      <c r="E30" s="25"/>
      <c r="F30" s="26"/>
      <c r="G30" s="12" t="str">
        <f t="shared" si="2"/>
        <v/>
      </c>
      <c r="H30" s="54"/>
      <c r="I30" s="13"/>
    </row>
    <row r="31" ht="18.0" customHeight="1">
      <c r="A31" s="14" t="str">
        <f t="shared" si="1"/>
        <v/>
      </c>
      <c r="B31" s="32"/>
      <c r="C31" s="32"/>
      <c r="D31" s="32"/>
      <c r="E31" s="29"/>
      <c r="F31" s="30"/>
      <c r="G31" s="19" t="str">
        <f t="shared" si="2"/>
        <v/>
      </c>
      <c r="H31" s="52"/>
      <c r="I31" s="21"/>
    </row>
    <row r="32" ht="18.0" customHeight="1">
      <c r="A32" s="7" t="str">
        <f t="shared" si="1"/>
        <v/>
      </c>
      <c r="B32" s="31"/>
      <c r="C32" s="31"/>
      <c r="D32" s="31"/>
      <c r="E32" s="25"/>
      <c r="F32" s="26"/>
      <c r="G32" s="12" t="str">
        <f t="shared" si="2"/>
        <v/>
      </c>
      <c r="H32" s="54"/>
      <c r="I32" s="13"/>
    </row>
    <row r="33" ht="18.0" customHeight="1">
      <c r="A33" s="14" t="str">
        <f t="shared" si="1"/>
        <v/>
      </c>
      <c r="B33" s="32"/>
      <c r="C33" s="32"/>
      <c r="D33" s="32"/>
      <c r="E33" s="29"/>
      <c r="F33" s="30"/>
      <c r="G33" s="19" t="str">
        <f t="shared" si="2"/>
        <v/>
      </c>
      <c r="H33" s="52"/>
      <c r="I33" s="21"/>
    </row>
    <row r="34" ht="18.0" customHeight="1">
      <c r="A34" s="7" t="str">
        <f t="shared" si="1"/>
        <v/>
      </c>
      <c r="B34" s="31"/>
      <c r="C34" s="31"/>
      <c r="D34" s="31"/>
      <c r="E34" s="25"/>
      <c r="F34" s="26"/>
      <c r="G34" s="12" t="str">
        <f t="shared" si="2"/>
        <v/>
      </c>
      <c r="H34" s="54"/>
      <c r="I34" s="13"/>
    </row>
    <row r="35" ht="18.0" customHeight="1">
      <c r="A35" s="14" t="str">
        <f t="shared" si="1"/>
        <v/>
      </c>
      <c r="B35" s="32"/>
      <c r="C35" s="32"/>
      <c r="D35" s="32"/>
      <c r="E35" s="29"/>
      <c r="F35" s="30"/>
      <c r="G35" s="19" t="str">
        <f t="shared" si="2"/>
        <v/>
      </c>
      <c r="H35" s="52"/>
      <c r="I35" s="21"/>
    </row>
    <row r="36" ht="18.0" customHeight="1">
      <c r="A36" s="7" t="str">
        <f t="shared" si="1"/>
        <v/>
      </c>
      <c r="B36" s="31"/>
      <c r="C36" s="31"/>
      <c r="D36" s="31"/>
      <c r="E36" s="25"/>
      <c r="F36" s="26"/>
      <c r="G36" s="12" t="str">
        <f t="shared" si="2"/>
        <v/>
      </c>
      <c r="H36" s="54"/>
      <c r="I36" s="13"/>
    </row>
    <row r="37" ht="18.0" customHeight="1">
      <c r="A37" s="14" t="str">
        <f t="shared" si="1"/>
        <v/>
      </c>
      <c r="B37" s="32"/>
      <c r="C37" s="32"/>
      <c r="D37" s="32"/>
      <c r="E37" s="29"/>
      <c r="F37" s="30"/>
      <c r="G37" s="19" t="str">
        <f t="shared" si="2"/>
        <v/>
      </c>
      <c r="H37" s="52"/>
      <c r="I37" s="21"/>
    </row>
    <row r="38" ht="18.0" customHeight="1">
      <c r="A38" s="7" t="str">
        <f t="shared" si="1"/>
        <v/>
      </c>
      <c r="B38" s="31"/>
      <c r="C38" s="31"/>
      <c r="D38" s="31"/>
      <c r="E38" s="25"/>
      <c r="F38" s="26"/>
      <c r="G38" s="12" t="str">
        <f t="shared" si="2"/>
        <v/>
      </c>
      <c r="H38" s="54"/>
      <c r="I38" s="13"/>
    </row>
    <row r="39" ht="18.0" customHeight="1">
      <c r="A39" s="14" t="str">
        <f t="shared" si="1"/>
        <v/>
      </c>
      <c r="B39" s="32"/>
      <c r="C39" s="32"/>
      <c r="D39" s="32"/>
      <c r="E39" s="29"/>
      <c r="F39" s="30"/>
      <c r="G39" s="19" t="str">
        <f t="shared" si="2"/>
        <v/>
      </c>
      <c r="H39" s="52"/>
      <c r="I39" s="21"/>
    </row>
    <row r="40" ht="18.0" customHeight="1">
      <c r="A40" s="7" t="str">
        <f t="shared" si="1"/>
        <v/>
      </c>
      <c r="B40" s="31"/>
      <c r="C40" s="31"/>
      <c r="D40" s="31"/>
      <c r="E40" s="25"/>
      <c r="F40" s="26"/>
      <c r="G40" s="12" t="str">
        <f t="shared" si="2"/>
        <v/>
      </c>
      <c r="H40" s="54"/>
      <c r="I40" s="13"/>
    </row>
    <row r="41" ht="18.0" customHeight="1">
      <c r="A41" s="14" t="str">
        <f t="shared" si="1"/>
        <v/>
      </c>
      <c r="B41" s="32"/>
      <c r="C41" s="32"/>
      <c r="D41" s="32"/>
      <c r="E41" s="29"/>
      <c r="F41" s="30"/>
      <c r="G41" s="19" t="str">
        <f t="shared" si="2"/>
        <v/>
      </c>
      <c r="H41" s="52"/>
      <c r="I41" s="21"/>
    </row>
    <row r="42" ht="18.0" customHeight="1">
      <c r="A42" s="7" t="str">
        <f t="shared" si="1"/>
        <v/>
      </c>
      <c r="B42" s="31"/>
      <c r="C42" s="31"/>
      <c r="D42" s="31"/>
      <c r="E42" s="25"/>
      <c r="F42" s="26"/>
      <c r="G42" s="12" t="str">
        <f t="shared" si="2"/>
        <v/>
      </c>
      <c r="H42" s="54"/>
      <c r="I42" s="13"/>
    </row>
    <row r="43" ht="18.0" customHeight="1">
      <c r="A43" s="14" t="str">
        <f t="shared" si="1"/>
        <v/>
      </c>
      <c r="B43" s="32"/>
      <c r="C43" s="32"/>
      <c r="D43" s="32"/>
      <c r="E43" s="29"/>
      <c r="F43" s="30"/>
      <c r="G43" s="19" t="str">
        <f t="shared" si="2"/>
        <v/>
      </c>
      <c r="H43" s="52"/>
      <c r="I43" s="21"/>
    </row>
    <row r="44" ht="18.0" customHeight="1">
      <c r="A44" s="7" t="str">
        <f t="shared" si="1"/>
        <v/>
      </c>
      <c r="B44" s="31"/>
      <c r="C44" s="31"/>
      <c r="D44" s="31"/>
      <c r="E44" s="25"/>
      <c r="F44" s="26"/>
      <c r="G44" s="12" t="str">
        <f t="shared" si="2"/>
        <v/>
      </c>
      <c r="H44" s="54"/>
      <c r="I44" s="13"/>
    </row>
    <row r="45" ht="18.0" customHeight="1">
      <c r="A45" s="14" t="str">
        <f t="shared" si="1"/>
        <v/>
      </c>
      <c r="B45" s="32"/>
      <c r="C45" s="32"/>
      <c r="D45" s="32"/>
      <c r="E45" s="29"/>
      <c r="F45" s="30"/>
      <c r="G45" s="19" t="str">
        <f t="shared" si="2"/>
        <v/>
      </c>
      <c r="H45" s="52"/>
      <c r="I45" s="21"/>
    </row>
    <row r="46" ht="18.0" customHeight="1">
      <c r="A46" s="7" t="str">
        <f t="shared" si="1"/>
        <v/>
      </c>
      <c r="B46" s="31"/>
      <c r="C46" s="31"/>
      <c r="D46" s="31"/>
      <c r="E46" s="25"/>
      <c r="F46" s="26"/>
      <c r="G46" s="12" t="str">
        <f t="shared" si="2"/>
        <v/>
      </c>
      <c r="H46" s="54"/>
      <c r="I46" s="13"/>
    </row>
    <row r="47" ht="18.0" customHeight="1">
      <c r="A47" s="14" t="str">
        <f t="shared" si="1"/>
        <v/>
      </c>
      <c r="B47" s="32"/>
      <c r="C47" s="32"/>
      <c r="D47" s="32"/>
      <c r="E47" s="29"/>
      <c r="F47" s="30"/>
      <c r="G47" s="19" t="str">
        <f t="shared" si="2"/>
        <v/>
      </c>
      <c r="H47" s="52"/>
      <c r="I47" s="21"/>
    </row>
    <row r="48" ht="18.0" customHeight="1">
      <c r="A48" s="7" t="str">
        <f t="shared" si="1"/>
        <v/>
      </c>
      <c r="B48" s="31"/>
      <c r="C48" s="31"/>
      <c r="D48" s="31"/>
      <c r="E48" s="25"/>
      <c r="F48" s="26"/>
      <c r="G48" s="12" t="str">
        <f t="shared" si="2"/>
        <v/>
      </c>
      <c r="H48" s="54"/>
      <c r="I48" s="13"/>
    </row>
    <row r="49" ht="18.0" customHeight="1">
      <c r="A49" s="14" t="str">
        <f t="shared" si="1"/>
        <v/>
      </c>
      <c r="B49" s="32"/>
      <c r="C49" s="32"/>
      <c r="D49" s="32"/>
      <c r="E49" s="29"/>
      <c r="F49" s="30"/>
      <c r="G49" s="19" t="str">
        <f t="shared" si="2"/>
        <v/>
      </c>
      <c r="H49" s="52"/>
      <c r="I49" s="21"/>
    </row>
    <row r="50" ht="18.0" customHeight="1">
      <c r="A50" s="7" t="str">
        <f t="shared" si="1"/>
        <v/>
      </c>
      <c r="B50" s="31"/>
      <c r="C50" s="31"/>
      <c r="D50" s="31"/>
      <c r="E50" s="25"/>
      <c r="F50" s="26"/>
      <c r="G50" s="12" t="str">
        <f t="shared" si="2"/>
        <v/>
      </c>
      <c r="H50" s="54"/>
      <c r="I50" s="13"/>
    </row>
    <row r="51" ht="18.0" customHeight="1">
      <c r="A51" s="14" t="str">
        <f t="shared" si="1"/>
        <v/>
      </c>
      <c r="B51" s="32"/>
      <c r="C51" s="32"/>
      <c r="D51" s="32"/>
      <c r="E51" s="29"/>
      <c r="F51" s="30"/>
      <c r="G51" s="19" t="str">
        <f t="shared" si="2"/>
        <v/>
      </c>
      <c r="H51" s="52"/>
      <c r="I51" s="21"/>
    </row>
    <row r="52" ht="18.0" customHeight="1">
      <c r="A52" s="7" t="str">
        <f t="shared" si="1"/>
        <v/>
      </c>
      <c r="B52" s="31"/>
      <c r="C52" s="31"/>
      <c r="D52" s="31"/>
      <c r="E52" s="25"/>
      <c r="F52" s="26"/>
      <c r="G52" s="12" t="str">
        <f t="shared" si="2"/>
        <v/>
      </c>
      <c r="H52" s="54"/>
      <c r="I52" s="13"/>
    </row>
    <row r="53" ht="18.0" customHeight="1">
      <c r="A53" s="14" t="str">
        <f t="shared" si="1"/>
        <v/>
      </c>
      <c r="B53" s="32"/>
      <c r="C53" s="32"/>
      <c r="D53" s="32"/>
      <c r="E53" s="29"/>
      <c r="F53" s="30"/>
      <c r="G53" s="19" t="str">
        <f t="shared" si="2"/>
        <v/>
      </c>
      <c r="H53" s="52"/>
      <c r="I53" s="21"/>
    </row>
    <row r="54" ht="18.0" customHeight="1">
      <c r="A54" s="7" t="str">
        <f t="shared" si="1"/>
        <v/>
      </c>
      <c r="B54" s="31"/>
      <c r="C54" s="31"/>
      <c r="D54" s="31"/>
      <c r="E54" s="25"/>
      <c r="F54" s="26"/>
      <c r="G54" s="12" t="str">
        <f t="shared" si="2"/>
        <v/>
      </c>
      <c r="H54" s="54"/>
      <c r="I54" s="13"/>
    </row>
    <row r="55" ht="18.0" customHeight="1">
      <c r="A55" s="14" t="str">
        <f t="shared" si="1"/>
        <v/>
      </c>
      <c r="B55" s="32"/>
      <c r="C55" s="32"/>
      <c r="D55" s="32"/>
      <c r="E55" s="29"/>
      <c r="F55" s="30"/>
      <c r="G55" s="19" t="str">
        <f t="shared" si="2"/>
        <v/>
      </c>
      <c r="H55" s="52"/>
      <c r="I55" s="21"/>
    </row>
    <row r="56" ht="18.0" customHeight="1">
      <c r="A56" s="7" t="str">
        <f t="shared" si="1"/>
        <v/>
      </c>
      <c r="B56" s="31"/>
      <c r="C56" s="31"/>
      <c r="D56" s="31"/>
      <c r="E56" s="25"/>
      <c r="F56" s="26"/>
      <c r="G56" s="12" t="str">
        <f t="shared" si="2"/>
        <v/>
      </c>
      <c r="H56" s="54"/>
      <c r="I56" s="13"/>
    </row>
    <row r="57" ht="18.0" customHeight="1">
      <c r="A57" s="14" t="str">
        <f t="shared" si="1"/>
        <v/>
      </c>
      <c r="B57" s="32"/>
      <c r="C57" s="32"/>
      <c r="D57" s="32"/>
      <c r="E57" s="29"/>
      <c r="F57" s="30"/>
      <c r="G57" s="19" t="str">
        <f t="shared" si="2"/>
        <v/>
      </c>
      <c r="H57" s="52"/>
      <c r="I57" s="21"/>
    </row>
    <row r="58" ht="18.0" customHeight="1">
      <c r="A58" s="7" t="str">
        <f t="shared" si="1"/>
        <v/>
      </c>
      <c r="B58" s="31"/>
      <c r="C58" s="31"/>
      <c r="D58" s="31"/>
      <c r="E58" s="25"/>
      <c r="F58" s="26"/>
      <c r="G58" s="12" t="str">
        <f t="shared" si="2"/>
        <v/>
      </c>
      <c r="H58" s="54"/>
      <c r="I58" s="13"/>
    </row>
    <row r="59" ht="18.0" customHeight="1">
      <c r="A59" s="14" t="str">
        <f t="shared" si="1"/>
        <v/>
      </c>
      <c r="B59" s="32"/>
      <c r="C59" s="32"/>
      <c r="D59" s="32"/>
      <c r="E59" s="29"/>
      <c r="F59" s="30"/>
      <c r="G59" s="19" t="str">
        <f t="shared" si="2"/>
        <v/>
      </c>
      <c r="H59" s="52"/>
      <c r="I59" s="21"/>
    </row>
    <row r="60" ht="18.0" customHeight="1">
      <c r="A60" s="7" t="str">
        <f t="shared" si="1"/>
        <v/>
      </c>
      <c r="B60" s="31"/>
      <c r="C60" s="31"/>
      <c r="D60" s="31"/>
      <c r="E60" s="25"/>
      <c r="F60" s="26"/>
      <c r="G60" s="12" t="str">
        <f t="shared" si="2"/>
        <v/>
      </c>
      <c r="H60" s="54"/>
      <c r="I60" s="13"/>
    </row>
    <row r="61" ht="18.0" customHeight="1">
      <c r="A61" s="14" t="str">
        <f t="shared" si="1"/>
        <v/>
      </c>
      <c r="B61" s="32"/>
      <c r="C61" s="32"/>
      <c r="D61" s="32"/>
      <c r="E61" s="29"/>
      <c r="F61" s="30"/>
      <c r="G61" s="19" t="str">
        <f t="shared" si="2"/>
        <v/>
      </c>
      <c r="H61" s="52"/>
      <c r="I61" s="21"/>
    </row>
    <row r="62" ht="18.0" customHeight="1">
      <c r="A62" s="7" t="str">
        <f t="shared" si="1"/>
        <v/>
      </c>
      <c r="B62" s="31"/>
      <c r="C62" s="31"/>
      <c r="D62" s="31"/>
      <c r="E62" s="25"/>
      <c r="F62" s="26"/>
      <c r="G62" s="12" t="str">
        <f t="shared" si="2"/>
        <v/>
      </c>
      <c r="H62" s="54"/>
      <c r="I62" s="13"/>
    </row>
    <row r="63" ht="18.0" customHeight="1">
      <c r="A63" s="14" t="str">
        <f t="shared" si="1"/>
        <v/>
      </c>
      <c r="B63" s="32"/>
      <c r="C63" s="32"/>
      <c r="D63" s="32"/>
      <c r="E63" s="29"/>
      <c r="F63" s="30"/>
      <c r="G63" s="19" t="str">
        <f t="shared" si="2"/>
        <v/>
      </c>
      <c r="H63" s="52"/>
      <c r="I63" s="21"/>
    </row>
    <row r="64" ht="18.0" customHeight="1">
      <c r="A64" s="7" t="str">
        <f t="shared" si="1"/>
        <v/>
      </c>
      <c r="B64" s="31"/>
      <c r="C64" s="31"/>
      <c r="D64" s="31"/>
      <c r="E64" s="25"/>
      <c r="F64" s="26"/>
      <c r="G64" s="12" t="str">
        <f t="shared" si="2"/>
        <v/>
      </c>
      <c r="H64" s="54"/>
      <c r="I64" s="13"/>
    </row>
    <row r="65" ht="18.0" customHeight="1">
      <c r="A65" s="14" t="str">
        <f t="shared" si="1"/>
        <v/>
      </c>
      <c r="B65" s="32"/>
      <c r="C65" s="32"/>
      <c r="D65" s="32"/>
      <c r="E65" s="29"/>
      <c r="F65" s="30"/>
      <c r="G65" s="19" t="str">
        <f t="shared" si="2"/>
        <v/>
      </c>
      <c r="H65" s="52"/>
      <c r="I65" s="21"/>
    </row>
    <row r="66" ht="18.0" customHeight="1">
      <c r="A66" s="7" t="str">
        <f t="shared" si="1"/>
        <v/>
      </c>
      <c r="B66" s="31"/>
      <c r="C66" s="31"/>
      <c r="D66" s="31"/>
      <c r="E66" s="25"/>
      <c r="F66" s="26"/>
      <c r="G66" s="12" t="str">
        <f t="shared" si="2"/>
        <v/>
      </c>
      <c r="H66" s="54"/>
      <c r="I66" s="13"/>
    </row>
    <row r="67" ht="18.0" customHeight="1">
      <c r="A67" s="14" t="str">
        <f t="shared" si="1"/>
        <v/>
      </c>
      <c r="B67" s="32"/>
      <c r="C67" s="32"/>
      <c r="D67" s="32"/>
      <c r="E67" s="29"/>
      <c r="F67" s="30"/>
      <c r="G67" s="19" t="str">
        <f t="shared" si="2"/>
        <v/>
      </c>
      <c r="H67" s="52"/>
      <c r="I67" s="21"/>
    </row>
    <row r="68" ht="18.0" customHeight="1">
      <c r="A68" s="7" t="str">
        <f t="shared" si="1"/>
        <v/>
      </c>
      <c r="B68" s="31"/>
      <c r="C68" s="31"/>
      <c r="D68" s="31"/>
      <c r="E68" s="25"/>
      <c r="F68" s="26"/>
      <c r="G68" s="12" t="str">
        <f t="shared" si="2"/>
        <v/>
      </c>
      <c r="H68" s="54"/>
      <c r="I68" s="13"/>
    </row>
    <row r="69" ht="18.0" customHeight="1">
      <c r="A69" s="14" t="str">
        <f t="shared" si="1"/>
        <v/>
      </c>
      <c r="B69" s="32"/>
      <c r="C69" s="32"/>
      <c r="D69" s="32"/>
      <c r="E69" s="29"/>
      <c r="F69" s="30"/>
      <c r="G69" s="19" t="str">
        <f t="shared" si="2"/>
        <v/>
      </c>
      <c r="H69" s="52"/>
      <c r="I69" s="21"/>
    </row>
    <row r="70" ht="18.0" customHeight="1">
      <c r="A70" s="7" t="str">
        <f t="shared" si="1"/>
        <v/>
      </c>
      <c r="B70" s="31"/>
      <c r="C70" s="31"/>
      <c r="D70" s="31"/>
      <c r="E70" s="25"/>
      <c r="F70" s="26"/>
      <c r="G70" s="12" t="str">
        <f t="shared" si="2"/>
        <v/>
      </c>
      <c r="H70" s="54"/>
      <c r="I70" s="13"/>
    </row>
    <row r="71" ht="18.0" customHeight="1">
      <c r="A71" s="14" t="str">
        <f t="shared" si="1"/>
        <v/>
      </c>
      <c r="B71" s="32"/>
      <c r="C71" s="32"/>
      <c r="D71" s="32"/>
      <c r="E71" s="29"/>
      <c r="F71" s="30"/>
      <c r="G71" s="19" t="str">
        <f t="shared" si="2"/>
        <v/>
      </c>
      <c r="H71" s="52"/>
      <c r="I71" s="21"/>
    </row>
    <row r="72" ht="18.0" customHeight="1">
      <c r="A72" s="7" t="str">
        <f t="shared" si="1"/>
        <v/>
      </c>
      <c r="B72" s="31"/>
      <c r="C72" s="31"/>
      <c r="D72" s="31"/>
      <c r="E72" s="25"/>
      <c r="F72" s="26"/>
      <c r="G72" s="12" t="str">
        <f t="shared" si="2"/>
        <v/>
      </c>
      <c r="H72" s="54"/>
      <c r="I72" s="13"/>
    </row>
    <row r="73" ht="18.0" customHeight="1">
      <c r="A73" s="14" t="str">
        <f t="shared" si="1"/>
        <v/>
      </c>
      <c r="B73" s="32"/>
      <c r="C73" s="32"/>
      <c r="D73" s="32"/>
      <c r="E73" s="29"/>
      <c r="F73" s="30"/>
      <c r="G73" s="19" t="str">
        <f t="shared" si="2"/>
        <v/>
      </c>
      <c r="H73" s="52"/>
      <c r="I73" s="21"/>
    </row>
    <row r="74" ht="18.0" customHeight="1">
      <c r="A74" s="7" t="str">
        <f t="shared" si="1"/>
        <v/>
      </c>
      <c r="B74" s="31"/>
      <c r="C74" s="31"/>
      <c r="D74" s="31"/>
      <c r="E74" s="25"/>
      <c r="F74" s="26"/>
      <c r="G74" s="12" t="str">
        <f t="shared" si="2"/>
        <v/>
      </c>
      <c r="H74" s="54"/>
      <c r="I74" s="13"/>
    </row>
    <row r="75" ht="18.0" customHeight="1">
      <c r="A75" s="14" t="str">
        <f t="shared" si="1"/>
        <v/>
      </c>
      <c r="B75" s="32"/>
      <c r="C75" s="32"/>
      <c r="D75" s="32"/>
      <c r="E75" s="29"/>
      <c r="F75" s="30"/>
      <c r="G75" s="19" t="str">
        <f t="shared" si="2"/>
        <v/>
      </c>
      <c r="H75" s="52"/>
      <c r="I75" s="21"/>
    </row>
    <row r="76" ht="18.0" customHeight="1">
      <c r="A76" s="7" t="str">
        <f t="shared" si="1"/>
        <v/>
      </c>
      <c r="B76" s="31"/>
      <c r="C76" s="31"/>
      <c r="D76" s="31"/>
      <c r="E76" s="25"/>
      <c r="F76" s="26"/>
      <c r="G76" s="12" t="str">
        <f t="shared" si="2"/>
        <v/>
      </c>
      <c r="H76" s="54"/>
      <c r="I76" s="13"/>
    </row>
    <row r="77" ht="18.0" customHeight="1">
      <c r="A77" s="14" t="str">
        <f t="shared" si="1"/>
        <v/>
      </c>
      <c r="B77" s="32"/>
      <c r="C77" s="32"/>
      <c r="D77" s="32"/>
      <c r="E77" s="29"/>
      <c r="F77" s="30"/>
      <c r="G77" s="19" t="str">
        <f t="shared" si="2"/>
        <v/>
      </c>
      <c r="H77" s="52"/>
      <c r="I77" s="21"/>
    </row>
    <row r="78" ht="18.0" customHeight="1">
      <c r="A78" s="7" t="str">
        <f t="shared" si="1"/>
        <v/>
      </c>
      <c r="B78" s="31"/>
      <c r="C78" s="31"/>
      <c r="D78" s="31"/>
      <c r="E78" s="25"/>
      <c r="F78" s="26"/>
      <c r="G78" s="12" t="str">
        <f t="shared" si="2"/>
        <v/>
      </c>
      <c r="H78" s="54"/>
      <c r="I78" s="13"/>
    </row>
    <row r="79" ht="24.0" customHeight="1">
      <c r="A79" s="55" t="s">
        <v>77</v>
      </c>
      <c r="B79" s="2"/>
      <c r="C79" s="2"/>
      <c r="D79" s="2"/>
      <c r="E79" s="2"/>
      <c r="F79" s="3"/>
      <c r="G79" s="56">
        <f>SUM(G4:G78)</f>
        <v>375</v>
      </c>
      <c r="H79" s="57"/>
      <c r="I79" s="57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I2"/>
    <mergeCell ref="A79:F79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D6608"/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8" width="20.0"/>
    <col customWidth="1" min="9" max="26" width="8.71"/>
  </cols>
  <sheetData>
    <row r="1" ht="37.5" customHeight="1">
      <c r="A1" s="1" t="s">
        <v>78</v>
      </c>
      <c r="B1" s="2"/>
      <c r="C1" s="2"/>
      <c r="D1" s="2"/>
      <c r="E1" s="2"/>
      <c r="F1" s="2"/>
      <c r="G1" s="2"/>
      <c r="H1" s="3"/>
    </row>
    <row r="3" ht="25.5" customHeight="1">
      <c r="A3" s="58" t="s">
        <v>79</v>
      </c>
      <c r="B3" s="2"/>
      <c r="C3" s="2"/>
      <c r="D3" s="2"/>
      <c r="E3" s="2"/>
      <c r="F3" s="2"/>
      <c r="G3" s="2"/>
      <c r="H3" s="3"/>
    </row>
    <row r="4" ht="21.75" customHeight="1">
      <c r="A4" s="59" t="s">
        <v>80</v>
      </c>
      <c r="B4" s="60">
        <f>'💵 Sales'!G79</f>
        <v>1621.06</v>
      </c>
      <c r="C4" s="2"/>
      <c r="D4" s="2"/>
      <c r="E4" s="2"/>
      <c r="F4" s="2"/>
      <c r="G4" s="2"/>
      <c r="H4" s="3"/>
    </row>
    <row r="5" ht="21.75" customHeight="1">
      <c r="A5" s="61" t="s">
        <v>81</v>
      </c>
      <c r="B5" s="62">
        <f>'📦 Purchases'!G79</f>
        <v>1304.66</v>
      </c>
      <c r="C5" s="2"/>
      <c r="D5" s="2"/>
      <c r="E5" s="2"/>
      <c r="F5" s="2"/>
      <c r="G5" s="2"/>
      <c r="H5" s="3"/>
    </row>
    <row r="6" ht="21.75" customHeight="1">
      <c r="A6" s="63" t="s">
        <v>82</v>
      </c>
      <c r="B6" s="64">
        <f>'💵 Sales'!K79</f>
        <v>750.16</v>
      </c>
      <c r="C6" s="2"/>
      <c r="D6" s="2"/>
      <c r="E6" s="2"/>
      <c r="F6" s="2"/>
      <c r="G6" s="2"/>
      <c r="H6" s="3"/>
    </row>
    <row r="7" ht="6.0" customHeight="1"/>
    <row r="8" ht="25.5" customHeight="1">
      <c r="A8" s="65" t="s">
        <v>83</v>
      </c>
      <c r="B8" s="2"/>
      <c r="C8" s="2"/>
      <c r="D8" s="2"/>
      <c r="E8" s="2"/>
      <c r="F8" s="2"/>
      <c r="G8" s="2"/>
      <c r="H8" s="3"/>
    </row>
    <row r="9" ht="21.75" customHeight="1">
      <c r="A9" s="66" t="s">
        <v>84</v>
      </c>
      <c r="B9" s="67">
        <f>'💵 Sales'!G79-'💵 Sales'!K79</f>
        <v>870.9</v>
      </c>
      <c r="C9" s="2"/>
      <c r="D9" s="2"/>
      <c r="E9" s="2"/>
      <c r="F9" s="2"/>
      <c r="G9" s="2"/>
      <c r="H9" s="3"/>
    </row>
    <row r="10" ht="21.75" customHeight="1">
      <c r="A10" s="66" t="s">
        <v>85</v>
      </c>
      <c r="B10" s="67">
        <f>'💵 Sales'!L79</f>
        <v>870.9</v>
      </c>
      <c r="C10" s="2"/>
      <c r="D10" s="2"/>
      <c r="E10" s="2"/>
      <c r="F10" s="2"/>
      <c r="G10" s="2"/>
      <c r="H10" s="3"/>
    </row>
    <row r="11" ht="21.75" customHeight="1">
      <c r="A11" s="66" t="s">
        <v>86</v>
      </c>
      <c r="B11" s="68">
        <f>'💵 Sales'!M79</f>
        <v>0.5372410645</v>
      </c>
      <c r="C11" s="2"/>
      <c r="D11" s="2"/>
      <c r="E11" s="2"/>
      <c r="F11" s="2"/>
      <c r="G11" s="2"/>
      <c r="H11" s="3"/>
    </row>
    <row r="12" ht="21.75" customHeight="1">
      <c r="A12" s="66" t="s">
        <v>87</v>
      </c>
      <c r="B12" s="68">
        <f>IFERROR('💵 Sales'!L79/'📦 Purchases'!G79,"")</f>
        <v>0.6675302378</v>
      </c>
      <c r="C12" s="2"/>
      <c r="D12" s="2"/>
      <c r="E12" s="2"/>
      <c r="F12" s="2"/>
      <c r="G12" s="2"/>
      <c r="H12" s="3"/>
    </row>
    <row r="13" ht="6.0" customHeight="1"/>
    <row r="14" ht="25.5" customHeight="1">
      <c r="A14" s="69" t="s">
        <v>88</v>
      </c>
      <c r="B14" s="2"/>
      <c r="C14" s="2"/>
      <c r="D14" s="2"/>
      <c r="E14" s="2"/>
      <c r="F14" s="2"/>
      <c r="G14" s="2"/>
      <c r="H14" s="3"/>
    </row>
    <row r="15" ht="21.75" customHeight="1">
      <c r="A15" s="70" t="s">
        <v>89</v>
      </c>
      <c r="B15" s="71">
        <f>'📋 Inventory'!G79</f>
        <v>375</v>
      </c>
      <c r="C15" s="2"/>
      <c r="D15" s="2"/>
      <c r="E15" s="2"/>
      <c r="F15" s="2"/>
      <c r="G15" s="2"/>
      <c r="H15" s="3"/>
    </row>
    <row r="16" ht="21.75" customHeight="1">
      <c r="A16" s="70" t="s">
        <v>90</v>
      </c>
      <c r="B16" s="72">
        <f>SUMIF('📦 Purchases'!B4:B78,"&lt;&gt;",'📦 Purchases'!E4:E78)</f>
        <v>27</v>
      </c>
      <c r="C16" s="2"/>
      <c r="D16" s="2"/>
      <c r="E16" s="2"/>
      <c r="F16" s="2"/>
      <c r="G16" s="2"/>
      <c r="H16" s="3"/>
    </row>
    <row r="17" ht="21.75" customHeight="1">
      <c r="A17" s="70" t="s">
        <v>91</v>
      </c>
      <c r="B17" s="72">
        <f>SUMIF('💵 Sales'!B4:B78,"&lt;&gt;",'💵 Sales'!E4:E78)</f>
        <v>70</v>
      </c>
      <c r="C17" s="2"/>
      <c r="D17" s="2"/>
      <c r="E17" s="2"/>
      <c r="F17" s="2"/>
      <c r="G17" s="2"/>
      <c r="H17" s="3"/>
    </row>
    <row r="18" ht="6.0" customHeight="1"/>
    <row r="19" ht="25.5" customHeight="1">
      <c r="A19" s="73" t="s">
        <v>92</v>
      </c>
      <c r="B19" s="2"/>
      <c r="C19" s="2"/>
      <c r="D19" s="2"/>
      <c r="E19" s="2"/>
      <c r="F19" s="2"/>
      <c r="G19" s="2"/>
      <c r="H19" s="3"/>
    </row>
    <row r="20" ht="21.75" customHeight="1">
      <c r="A20" s="63" t="s">
        <v>93</v>
      </c>
      <c r="B20" s="64">
        <f>'💸 Overhead Expenses'!E79</f>
        <v>503.02</v>
      </c>
      <c r="C20" s="2"/>
      <c r="D20" s="2"/>
      <c r="E20" s="2"/>
      <c r="F20" s="2"/>
      <c r="G20" s="2"/>
      <c r="H20" s="3"/>
    </row>
    <row r="21" ht="21.75" customHeight="1">
      <c r="A21" s="59" t="s">
        <v>94</v>
      </c>
      <c r="B21" s="60">
        <f>'💵 Sales'!L79-'💸 Overhead Expenses'!E79</f>
        <v>367.88</v>
      </c>
      <c r="C21" s="2"/>
      <c r="D21" s="2"/>
      <c r="E21" s="2"/>
      <c r="F21" s="2"/>
      <c r="G21" s="2"/>
      <c r="H21" s="3"/>
    </row>
    <row r="22" ht="6.0" customHeight="1"/>
    <row r="23" ht="25.5" customHeight="1">
      <c r="A23" s="74" t="s">
        <v>95</v>
      </c>
      <c r="B23" s="2"/>
      <c r="C23" s="2"/>
      <c r="D23" s="2"/>
      <c r="E23" s="2"/>
      <c r="F23" s="2"/>
      <c r="G23" s="2"/>
      <c r="H23" s="3"/>
    </row>
    <row r="24" ht="19.5" customHeight="1">
      <c r="A24" s="75" t="s">
        <v>96</v>
      </c>
      <c r="B24" s="76" t="s">
        <v>97</v>
      </c>
      <c r="C24" s="2"/>
      <c r="D24" s="2"/>
      <c r="E24" s="2"/>
      <c r="F24" s="2"/>
      <c r="G24" s="2"/>
      <c r="H24" s="3"/>
    </row>
    <row r="25" ht="19.5" customHeight="1">
      <c r="A25" s="75" t="s">
        <v>98</v>
      </c>
      <c r="B25" s="76" t="s">
        <v>99</v>
      </c>
      <c r="C25" s="2"/>
      <c r="D25" s="2"/>
      <c r="E25" s="2"/>
      <c r="F25" s="2"/>
      <c r="G25" s="2"/>
      <c r="H25" s="3"/>
    </row>
    <row r="26" ht="19.5" customHeight="1">
      <c r="A26" s="75" t="s">
        <v>100</v>
      </c>
      <c r="B26" s="76" t="s">
        <v>101</v>
      </c>
      <c r="C26" s="2"/>
      <c r="D26" s="2"/>
      <c r="E26" s="2"/>
      <c r="F26" s="2"/>
      <c r="G26" s="2"/>
      <c r="H26" s="3"/>
    </row>
    <row r="27" ht="19.5" customHeight="1">
      <c r="A27" s="75" t="s">
        <v>102</v>
      </c>
      <c r="B27" s="76" t="s">
        <v>103</v>
      </c>
      <c r="C27" s="2"/>
      <c r="D27" s="2"/>
      <c r="E27" s="2"/>
      <c r="F27" s="2"/>
      <c r="G27" s="2"/>
      <c r="H27" s="3"/>
    </row>
    <row r="28" ht="19.5" customHeight="1">
      <c r="A28" s="75" t="s">
        <v>104</v>
      </c>
      <c r="B28" s="76" t="s">
        <v>105</v>
      </c>
      <c r="C28" s="2"/>
      <c r="D28" s="2"/>
      <c r="E28" s="2"/>
      <c r="F28" s="2"/>
      <c r="G28" s="2"/>
      <c r="H28" s="3"/>
    </row>
    <row r="29" ht="19.5" customHeight="1">
      <c r="A29" s="75" t="s">
        <v>106</v>
      </c>
      <c r="B29" s="76" t="s">
        <v>107</v>
      </c>
      <c r="C29" s="2"/>
      <c r="D29" s="2"/>
      <c r="E29" s="2"/>
      <c r="F29" s="2"/>
      <c r="G29" s="2"/>
      <c r="H29" s="3"/>
    </row>
    <row r="30" ht="19.5" customHeight="1">
      <c r="A30" s="75" t="s">
        <v>10</v>
      </c>
      <c r="B30" s="76" t="s">
        <v>108</v>
      </c>
      <c r="C30" s="2"/>
      <c r="D30" s="2"/>
      <c r="E30" s="2"/>
      <c r="F30" s="2"/>
      <c r="G30" s="2"/>
      <c r="H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H1"/>
    <mergeCell ref="A3:H3"/>
    <mergeCell ref="B4:H4"/>
    <mergeCell ref="B5:H5"/>
    <mergeCell ref="B6:H6"/>
    <mergeCell ref="A8:H8"/>
    <mergeCell ref="B9:H9"/>
    <mergeCell ref="B10:H10"/>
    <mergeCell ref="B11:H11"/>
    <mergeCell ref="B12:H12"/>
    <mergeCell ref="A14:H14"/>
    <mergeCell ref="B15:H15"/>
    <mergeCell ref="B16:H16"/>
    <mergeCell ref="B17:H17"/>
    <mergeCell ref="B27:H27"/>
    <mergeCell ref="B28:H28"/>
    <mergeCell ref="B29:H29"/>
    <mergeCell ref="B30:H30"/>
    <mergeCell ref="A19:H19"/>
    <mergeCell ref="B20:H20"/>
    <mergeCell ref="B21:H21"/>
    <mergeCell ref="A23:H23"/>
    <mergeCell ref="B24:H24"/>
    <mergeCell ref="B25:H25"/>
    <mergeCell ref="B26:H26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6655"/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6.0"/>
    <col customWidth="1" min="2" max="13" width="12.0"/>
    <col customWidth="1" min="14" max="14" width="15.0"/>
    <col customWidth="1" min="15" max="26" width="8.71"/>
  </cols>
  <sheetData>
    <row r="1" ht="37.5" customHeight="1">
      <c r="A1" s="77" t="s">
        <v>109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8.0" customHeight="1">
      <c r="A2" s="78" t="s">
        <v>110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21.75" customHeight="1">
      <c r="A3" s="79" t="s">
        <v>111</v>
      </c>
      <c r="B3" s="3"/>
      <c r="C3" s="80"/>
      <c r="D3" s="81" t="s">
        <v>112</v>
      </c>
      <c r="E3" s="2"/>
      <c r="F3" s="2"/>
      <c r="G3" s="2"/>
      <c r="H3" s="2"/>
      <c r="I3" s="2"/>
      <c r="J3" s="2"/>
      <c r="K3" s="2"/>
      <c r="L3" s="2"/>
      <c r="M3" s="2"/>
      <c r="N3" s="3"/>
    </row>
    <row r="4" ht="21.75" customHeight="1">
      <c r="A4" s="5" t="s">
        <v>113</v>
      </c>
      <c r="B4" s="5" t="s">
        <v>114</v>
      </c>
      <c r="C4" s="5" t="s">
        <v>115</v>
      </c>
      <c r="D4" s="5" t="s">
        <v>116</v>
      </c>
      <c r="E4" s="5" t="s">
        <v>117</v>
      </c>
      <c r="F4" s="5" t="s">
        <v>118</v>
      </c>
      <c r="G4" s="5" t="s">
        <v>119</v>
      </c>
      <c r="H4" s="5" t="s">
        <v>120</v>
      </c>
      <c r="I4" s="5" t="s">
        <v>121</v>
      </c>
      <c r="J4" s="5" t="s">
        <v>122</v>
      </c>
      <c r="K4" s="5" t="s">
        <v>123</v>
      </c>
      <c r="L4" s="5" t="s">
        <v>124</v>
      </c>
      <c r="M4" s="5" t="s">
        <v>125</v>
      </c>
      <c r="N4" s="5" t="s">
        <v>126</v>
      </c>
    </row>
    <row r="5" ht="21.75" customHeight="1">
      <c r="A5" s="59" t="s">
        <v>127</v>
      </c>
      <c r="B5" s="82">
        <f>IFERROR(SUMPRODUCT((TEXT('💵 Sales'!$B$4:$B$78,"mmm")="Jan")*IF($C$3="",1,('💵 Sales'!$B$4:$B$78&lt;&gt;"")*(YEAR('💵 Sales'!$B$4:$B$78)=$C$3))*IF('💵 Sales'!$G$4:$G$78="",0,'💵 Sales'!$G$4:$G$78)),0)</f>
        <v>0</v>
      </c>
      <c r="C5" s="82">
        <f>IFERROR(SUMPRODUCT((TEXT('💵 Sales'!$B$4:$B$78,"mmm")="Feb")*IF($C$3="",1,('💵 Sales'!$B$4:$B$78&lt;&gt;"")*(YEAR('💵 Sales'!$B$4:$B$78)=$C$3))*IF('💵 Sales'!$G$4:$G$78="",0,'💵 Sales'!$G$4:$G$78)),0)</f>
        <v>0</v>
      </c>
      <c r="D5" s="82">
        <f>IFERROR(SUMPRODUCT((TEXT('💵 Sales'!$B$4:$B$78,"mmm")="Mar")*IF($C$3="",1,('💵 Sales'!$B$4:$B$78&lt;&gt;"")*(YEAR('💵 Sales'!$B$4:$B$78)=$C$3))*IF('💵 Sales'!$G$4:$G$78="",0,'💵 Sales'!$G$4:$G$78)),0)</f>
        <v>0</v>
      </c>
      <c r="E5" s="82">
        <f>IFERROR(SUMPRODUCT((TEXT('💵 Sales'!$B$4:$B$78,"mmm")="Apr")*IF($C$3="",1,('💵 Sales'!$B$4:$B$78&lt;&gt;"")*(YEAR('💵 Sales'!$B$4:$B$78)=$C$3))*IF('💵 Sales'!$G$4:$G$78="",0,'💵 Sales'!$G$4:$G$78)),0)</f>
        <v>569.99</v>
      </c>
      <c r="F5" s="82">
        <f>IFERROR(SUMPRODUCT((TEXT('💵 Sales'!$B$4:$B$78,"mmm")="May")*IF($C$3="",1,('💵 Sales'!$B$4:$B$78&lt;&gt;"")*(YEAR('💵 Sales'!$B$4:$B$78)=$C$3))*IF('💵 Sales'!$G$4:$G$78="",0,'💵 Sales'!$G$4:$G$78)),0)</f>
        <v>1051.07</v>
      </c>
      <c r="G5" s="82">
        <f>IFERROR(SUMPRODUCT((TEXT('💵 Sales'!$B$4:$B$78,"mmm")="Jun")*IF($C$3="",1,('💵 Sales'!$B$4:$B$78&lt;&gt;"")*(YEAR('💵 Sales'!$B$4:$B$78)=$C$3))*IF('💵 Sales'!$G$4:$G$78="",0,'💵 Sales'!$G$4:$G$78)),0)</f>
        <v>0</v>
      </c>
      <c r="H5" s="82">
        <f>IFERROR(SUMPRODUCT((TEXT('💵 Sales'!$B$4:$B$78,"mmm")="Jul")*IF($C$3="",1,('💵 Sales'!$B$4:$B$78&lt;&gt;"")*(YEAR('💵 Sales'!$B$4:$B$78)=$C$3))*IF('💵 Sales'!$G$4:$G$78="",0,'💵 Sales'!$G$4:$G$78)),0)</f>
        <v>0</v>
      </c>
      <c r="I5" s="82">
        <f>IFERROR(SUMPRODUCT((TEXT('💵 Sales'!$B$4:$B$78,"mmm")="Aug")*IF($C$3="",1,('💵 Sales'!$B$4:$B$78&lt;&gt;"")*(YEAR('💵 Sales'!$B$4:$B$78)=$C$3))*IF('💵 Sales'!$G$4:$G$78="",0,'💵 Sales'!$G$4:$G$78)),0)</f>
        <v>0</v>
      </c>
      <c r="J5" s="82">
        <f>IFERROR(SUMPRODUCT((TEXT('💵 Sales'!$B$4:$B$78,"mmm")="Sep")*IF($C$3="",1,('💵 Sales'!$B$4:$B$78&lt;&gt;"")*(YEAR('💵 Sales'!$B$4:$B$78)=$C$3))*IF('💵 Sales'!$G$4:$G$78="",0,'💵 Sales'!$G$4:$G$78)),0)</f>
        <v>0</v>
      </c>
      <c r="K5" s="82">
        <f>IFERROR(SUMPRODUCT((TEXT('💵 Sales'!$B$4:$B$78,"mmm")="Oct")*IF($C$3="",1,('💵 Sales'!$B$4:$B$78&lt;&gt;"")*(YEAR('💵 Sales'!$B$4:$B$78)=$C$3))*IF('💵 Sales'!$G$4:$G$78="",0,'💵 Sales'!$G$4:$G$78)),0)</f>
        <v>0</v>
      </c>
      <c r="L5" s="82">
        <f>IFERROR(SUMPRODUCT((TEXT('💵 Sales'!$B$4:$B$78,"mmm")="Nov")*IF($C$3="",1,('💵 Sales'!$B$4:$B$78&lt;&gt;"")*(YEAR('💵 Sales'!$B$4:$B$78)=$C$3))*IF('💵 Sales'!$G$4:$G$78="",0,'💵 Sales'!$G$4:$G$78)),0)</f>
        <v>0</v>
      </c>
      <c r="M5" s="82">
        <f>IFERROR(SUMPRODUCT((TEXT('💵 Sales'!$B$4:$B$78,"mmm")="Dec")*IF($C$3="",1,('💵 Sales'!$B$4:$B$78&lt;&gt;"")*(YEAR('💵 Sales'!$B$4:$B$78)=$C$3))*IF('💵 Sales'!$G$4:$G$78="",0,'💵 Sales'!$G$4:$G$78)),0)</f>
        <v>0</v>
      </c>
      <c r="N5" s="83">
        <f t="shared" ref="N5:N7" si="1">SUM(B5:M5)</f>
        <v>1621.06</v>
      </c>
    </row>
    <row r="6" ht="21.75" customHeight="1">
      <c r="A6" s="63" t="s">
        <v>128</v>
      </c>
      <c r="B6" s="84">
        <f>IFERROR(SUMPRODUCT((TEXT('💵 Sales'!$B$4:$B$78,"mmm")="Jan")*IF($C$3="",1,('💵 Sales'!$B$4:$B$78&lt;&gt;"")*(YEAR('💵 Sales'!$B$4:$B$78)=$C$3))*IF('💵 Sales'!$K$4:$K$78="",0,'💵 Sales'!$K$4:$K$78)),0)</f>
        <v>0</v>
      </c>
      <c r="C6" s="84">
        <f>IFERROR(SUMPRODUCT((TEXT('💵 Sales'!$B$4:$B$78,"mmm")="Feb")*IF($C$3="",1,('💵 Sales'!$B$4:$B$78&lt;&gt;"")*(YEAR('💵 Sales'!$B$4:$B$78)=$C$3))*IF('💵 Sales'!$K$4:$K$78="",0,'💵 Sales'!$K$4:$K$78)),0)</f>
        <v>0</v>
      </c>
      <c r="D6" s="84">
        <f>IFERROR(SUMPRODUCT((TEXT('💵 Sales'!$B$4:$B$78,"mmm")="Mar")*IF($C$3="",1,('💵 Sales'!$B$4:$B$78&lt;&gt;"")*(YEAR('💵 Sales'!$B$4:$B$78)=$C$3))*IF('💵 Sales'!$K$4:$K$78="",0,'💵 Sales'!$K$4:$K$78)),0)</f>
        <v>0</v>
      </c>
      <c r="E6" s="84">
        <f>IFERROR(SUMPRODUCT((TEXT('💵 Sales'!$B$4:$B$78,"mmm")="Apr")*IF($C$3="",1,('💵 Sales'!$B$4:$B$78&lt;&gt;"")*(YEAR('💵 Sales'!$B$4:$B$78)=$C$3))*IF('💵 Sales'!$K$4:$K$78="",0,'💵 Sales'!$K$4:$K$78)),0)</f>
        <v>211.96</v>
      </c>
      <c r="F6" s="84">
        <f>IFERROR(SUMPRODUCT((TEXT('💵 Sales'!$B$4:$B$78,"mmm")="May")*IF($C$3="",1,('💵 Sales'!$B$4:$B$78&lt;&gt;"")*(YEAR('💵 Sales'!$B$4:$B$78)=$C$3))*IF('💵 Sales'!$K$4:$K$78="",0,'💵 Sales'!$K$4:$K$78)),0)</f>
        <v>538.2</v>
      </c>
      <c r="G6" s="84">
        <f>IFERROR(SUMPRODUCT((TEXT('💵 Sales'!$B$4:$B$78,"mmm")="Jun")*IF($C$3="",1,('💵 Sales'!$B$4:$B$78&lt;&gt;"")*(YEAR('💵 Sales'!$B$4:$B$78)=$C$3))*IF('💵 Sales'!$K$4:$K$78="",0,'💵 Sales'!$K$4:$K$78)),0)</f>
        <v>0</v>
      </c>
      <c r="H6" s="84">
        <f>IFERROR(SUMPRODUCT((TEXT('💵 Sales'!$B$4:$B$78,"mmm")="Jul")*IF($C$3="",1,('💵 Sales'!$B$4:$B$78&lt;&gt;"")*(YEAR('💵 Sales'!$B$4:$B$78)=$C$3))*IF('💵 Sales'!$K$4:$K$78="",0,'💵 Sales'!$K$4:$K$78)),0)</f>
        <v>0</v>
      </c>
      <c r="I6" s="84">
        <f>IFERROR(SUMPRODUCT((TEXT('💵 Sales'!$B$4:$B$78,"mmm")="Aug")*IF($C$3="",1,('💵 Sales'!$B$4:$B$78&lt;&gt;"")*(YEAR('💵 Sales'!$B$4:$B$78)=$C$3))*IF('💵 Sales'!$K$4:$K$78="",0,'💵 Sales'!$K$4:$K$78)),0)</f>
        <v>0</v>
      </c>
      <c r="J6" s="84">
        <f>IFERROR(SUMPRODUCT((TEXT('💵 Sales'!$B$4:$B$78,"mmm")="Sep")*IF($C$3="",1,('💵 Sales'!$B$4:$B$78&lt;&gt;"")*(YEAR('💵 Sales'!$B$4:$B$78)=$C$3))*IF('💵 Sales'!$K$4:$K$78="",0,'💵 Sales'!$K$4:$K$78)),0)</f>
        <v>0</v>
      </c>
      <c r="K6" s="84">
        <f>IFERROR(SUMPRODUCT((TEXT('💵 Sales'!$B$4:$B$78,"mmm")="Oct")*IF($C$3="",1,('💵 Sales'!$B$4:$B$78&lt;&gt;"")*(YEAR('💵 Sales'!$B$4:$B$78)=$C$3))*IF('💵 Sales'!$K$4:$K$78="",0,'💵 Sales'!$K$4:$K$78)),0)</f>
        <v>0</v>
      </c>
      <c r="L6" s="84">
        <f>IFERROR(SUMPRODUCT((TEXT('💵 Sales'!$B$4:$B$78,"mmm")="Nov")*IF($C$3="",1,('💵 Sales'!$B$4:$B$78&lt;&gt;"")*(YEAR('💵 Sales'!$B$4:$B$78)=$C$3))*IF('💵 Sales'!$K$4:$K$78="",0,'💵 Sales'!$K$4:$K$78)),0)</f>
        <v>0</v>
      </c>
      <c r="M6" s="84">
        <f>IFERROR(SUMPRODUCT((TEXT('💵 Sales'!$B$4:$B$78,"mmm")="Dec")*IF($C$3="",1,('💵 Sales'!$B$4:$B$78&lt;&gt;"")*(YEAR('💵 Sales'!$B$4:$B$78)=$C$3))*IF('💵 Sales'!$K$4:$K$78="",0,'💵 Sales'!$K$4:$K$78)),0)</f>
        <v>0</v>
      </c>
      <c r="N6" s="85">
        <f t="shared" si="1"/>
        <v>750.16</v>
      </c>
    </row>
    <row r="7" ht="21.75" customHeight="1">
      <c r="A7" s="66" t="s">
        <v>129</v>
      </c>
      <c r="B7" s="86">
        <f>IFERROR(SUMPRODUCT((TEXT('💵 Sales'!$B$4:$B$78,"mmm")="Jan")*IF($C$3="",1,('💵 Sales'!$B$4:$B$78&lt;&gt;"")*(YEAR('💵 Sales'!$B$4:$B$78)=$C$3))*IF('💵 Sales'!$L$4:$L$78="",0,'💵 Sales'!$L$4:$L$78)),0)</f>
        <v>0</v>
      </c>
      <c r="C7" s="86">
        <f>IFERROR(SUMPRODUCT((TEXT('💵 Sales'!$B$4:$B$78,"mmm")="Feb")*IF($C$3="",1,('💵 Sales'!$B$4:$B$78&lt;&gt;"")*(YEAR('💵 Sales'!$B$4:$B$78)=$C$3))*IF('💵 Sales'!$L$4:$L$78="",0,'💵 Sales'!$L$4:$L$78)),0)</f>
        <v>0</v>
      </c>
      <c r="D7" s="86">
        <f>IFERROR(SUMPRODUCT((TEXT('💵 Sales'!$B$4:$B$78,"mmm")="Mar")*IF($C$3="",1,('💵 Sales'!$B$4:$B$78&lt;&gt;"")*(YEAR('💵 Sales'!$B$4:$B$78)=$C$3))*IF('💵 Sales'!$L$4:$L$78="",0,'💵 Sales'!$L$4:$L$78)),0)</f>
        <v>0</v>
      </c>
      <c r="E7" s="86">
        <f>IFERROR(SUMPRODUCT((TEXT('💵 Sales'!$B$4:$B$78,"mmm")="Apr")*IF($C$3="",1,('💵 Sales'!$B$4:$B$78&lt;&gt;"")*(YEAR('💵 Sales'!$B$4:$B$78)=$C$3))*IF('💵 Sales'!$L$4:$L$78="",0,'💵 Sales'!$L$4:$L$78)),0)</f>
        <v>358.03</v>
      </c>
      <c r="F7" s="86">
        <f>IFERROR(SUMPRODUCT((TEXT('💵 Sales'!$B$4:$B$78,"mmm")="May")*IF($C$3="",1,('💵 Sales'!$B$4:$B$78&lt;&gt;"")*(YEAR('💵 Sales'!$B$4:$B$78)=$C$3))*IF('💵 Sales'!$L$4:$L$78="",0,'💵 Sales'!$L$4:$L$78)),0)</f>
        <v>512.87</v>
      </c>
      <c r="G7" s="86">
        <f>IFERROR(SUMPRODUCT((TEXT('💵 Sales'!$B$4:$B$78,"mmm")="Jun")*IF($C$3="",1,('💵 Sales'!$B$4:$B$78&lt;&gt;"")*(YEAR('💵 Sales'!$B$4:$B$78)=$C$3))*IF('💵 Sales'!$L$4:$L$78="",0,'💵 Sales'!$L$4:$L$78)),0)</f>
        <v>0</v>
      </c>
      <c r="H7" s="86">
        <f>IFERROR(SUMPRODUCT((TEXT('💵 Sales'!$B$4:$B$78,"mmm")="Jul")*IF($C$3="",1,('💵 Sales'!$B$4:$B$78&lt;&gt;"")*(YEAR('💵 Sales'!$B$4:$B$78)=$C$3))*IF('💵 Sales'!$L$4:$L$78="",0,'💵 Sales'!$L$4:$L$78)),0)</f>
        <v>0</v>
      </c>
      <c r="I7" s="86">
        <f>IFERROR(SUMPRODUCT((TEXT('💵 Sales'!$B$4:$B$78,"mmm")="Aug")*IF($C$3="",1,('💵 Sales'!$B$4:$B$78&lt;&gt;"")*(YEAR('💵 Sales'!$B$4:$B$78)=$C$3))*IF('💵 Sales'!$L$4:$L$78="",0,'💵 Sales'!$L$4:$L$78)),0)</f>
        <v>0</v>
      </c>
      <c r="J7" s="86">
        <f>IFERROR(SUMPRODUCT((TEXT('💵 Sales'!$B$4:$B$78,"mmm")="Sep")*IF($C$3="",1,('💵 Sales'!$B$4:$B$78&lt;&gt;"")*(YEAR('💵 Sales'!$B$4:$B$78)=$C$3))*IF('💵 Sales'!$L$4:$L$78="",0,'💵 Sales'!$L$4:$L$78)),0)</f>
        <v>0</v>
      </c>
      <c r="K7" s="86">
        <f>IFERROR(SUMPRODUCT((TEXT('💵 Sales'!$B$4:$B$78,"mmm")="Oct")*IF($C$3="",1,('💵 Sales'!$B$4:$B$78&lt;&gt;"")*(YEAR('💵 Sales'!$B$4:$B$78)=$C$3))*IF('💵 Sales'!$L$4:$L$78="",0,'💵 Sales'!$L$4:$L$78)),0)</f>
        <v>0</v>
      </c>
      <c r="L7" s="86">
        <f>IFERROR(SUMPRODUCT((TEXT('💵 Sales'!$B$4:$B$78,"mmm")="Nov")*IF($C$3="",1,('💵 Sales'!$B$4:$B$78&lt;&gt;"")*(YEAR('💵 Sales'!$B$4:$B$78)=$C$3))*IF('💵 Sales'!$L$4:$L$78="",0,'💵 Sales'!$L$4:$L$78)),0)</f>
        <v>0</v>
      </c>
      <c r="M7" s="86">
        <f>IFERROR(SUMPRODUCT((TEXT('💵 Sales'!$B$4:$B$78,"mmm")="Dec")*IF($C$3="",1,('💵 Sales'!$B$4:$B$78&lt;&gt;"")*(YEAR('💵 Sales'!$B$4:$B$78)=$C$3))*IF('💵 Sales'!$L$4:$L$78="",0,'💵 Sales'!$L$4:$L$78)),0)</f>
        <v>0</v>
      </c>
      <c r="N7" s="87">
        <f t="shared" si="1"/>
        <v>870.9</v>
      </c>
    </row>
    <row r="8" ht="21.75" customHeight="1">
      <c r="A8" s="66" t="s">
        <v>130</v>
      </c>
      <c r="B8" s="88">
        <f t="shared" ref="B8:N8" si="2">IFERROR((B5-B6)/B5,0)</f>
        <v>0</v>
      </c>
      <c r="C8" s="88">
        <f t="shared" si="2"/>
        <v>0</v>
      </c>
      <c r="D8" s="88">
        <f t="shared" si="2"/>
        <v>0</v>
      </c>
      <c r="E8" s="88">
        <f t="shared" si="2"/>
        <v>0.6281338269</v>
      </c>
      <c r="F8" s="88">
        <f t="shared" si="2"/>
        <v>0.4879503744</v>
      </c>
      <c r="G8" s="88">
        <f t="shared" si="2"/>
        <v>0</v>
      </c>
      <c r="H8" s="88">
        <f t="shared" si="2"/>
        <v>0</v>
      </c>
      <c r="I8" s="88">
        <f t="shared" si="2"/>
        <v>0</v>
      </c>
      <c r="J8" s="88">
        <f t="shared" si="2"/>
        <v>0</v>
      </c>
      <c r="K8" s="88">
        <f t="shared" si="2"/>
        <v>0</v>
      </c>
      <c r="L8" s="88">
        <f t="shared" si="2"/>
        <v>0</v>
      </c>
      <c r="M8" s="88">
        <f t="shared" si="2"/>
        <v>0</v>
      </c>
      <c r="N8" s="89">
        <f t="shared" si="2"/>
        <v>0.5372410645</v>
      </c>
    </row>
    <row r="9" ht="21.75" customHeight="1">
      <c r="A9" s="75" t="s">
        <v>131</v>
      </c>
      <c r="B9" s="90">
        <f>IFERROR(SUMPRODUCT((TEXT('💵 Sales'!$B$4:$B$78,"mmm")="Jan")*IF($C$3="",1,('💵 Sales'!$B$4:$B$78&lt;&gt;"")*(YEAR('💵 Sales'!$B$4:$B$78)=$C$3))*IF('💵 Sales'!$E$4:$E$78="",0,'💵 Sales'!$E$4:$E$78)),0)</f>
        <v>0</v>
      </c>
      <c r="C9" s="90">
        <f>IFERROR(SUMPRODUCT((TEXT('💵 Sales'!$B$4:$B$78,"mmm")="Feb")*IF($C$3="",1,('💵 Sales'!$B$4:$B$78&lt;&gt;"")*(YEAR('💵 Sales'!$B$4:$B$78)=$C$3))*IF('💵 Sales'!$E$4:$E$78="",0,'💵 Sales'!$E$4:$E$78)),0)</f>
        <v>0</v>
      </c>
      <c r="D9" s="90">
        <f>IFERROR(SUMPRODUCT((TEXT('💵 Sales'!$B$4:$B$78,"mmm")="Mar")*IF($C$3="",1,('💵 Sales'!$B$4:$B$78&lt;&gt;"")*(YEAR('💵 Sales'!$B$4:$B$78)=$C$3))*IF('💵 Sales'!$E$4:$E$78="",0,'💵 Sales'!$E$4:$E$78)),0)</f>
        <v>0</v>
      </c>
      <c r="E9" s="90">
        <f>IFERROR(SUMPRODUCT((TEXT('💵 Sales'!$B$4:$B$78,"mmm")="Apr")*IF($C$3="",1,('💵 Sales'!$B$4:$B$78&lt;&gt;"")*(YEAR('💵 Sales'!$B$4:$B$78)=$C$3))*IF('💵 Sales'!$E$4:$E$78="",0,'💵 Sales'!$E$4:$E$78)),0)</f>
        <v>4</v>
      </c>
      <c r="F9" s="90">
        <f>IFERROR(SUMPRODUCT((TEXT('💵 Sales'!$B$4:$B$78,"mmm")="May")*IF($C$3="",1,('💵 Sales'!$B$4:$B$78&lt;&gt;"")*(YEAR('💵 Sales'!$B$4:$B$78)=$C$3))*IF('💵 Sales'!$E$4:$E$78="",0,'💵 Sales'!$E$4:$E$78)),0)</f>
        <v>66</v>
      </c>
      <c r="G9" s="90">
        <f>IFERROR(SUMPRODUCT((TEXT('💵 Sales'!$B$4:$B$78,"mmm")="Jun")*IF($C$3="",1,('💵 Sales'!$B$4:$B$78&lt;&gt;"")*(YEAR('💵 Sales'!$B$4:$B$78)=$C$3))*IF('💵 Sales'!$E$4:$E$78="",0,'💵 Sales'!$E$4:$E$78)),0)</f>
        <v>0</v>
      </c>
      <c r="H9" s="90">
        <f>IFERROR(SUMPRODUCT((TEXT('💵 Sales'!$B$4:$B$78,"mmm")="Jul")*IF($C$3="",1,('💵 Sales'!$B$4:$B$78&lt;&gt;"")*(YEAR('💵 Sales'!$B$4:$B$78)=$C$3))*IF('💵 Sales'!$E$4:$E$78="",0,'💵 Sales'!$E$4:$E$78)),0)</f>
        <v>0</v>
      </c>
      <c r="I9" s="90">
        <f>IFERROR(SUMPRODUCT((TEXT('💵 Sales'!$B$4:$B$78,"mmm")="Aug")*IF($C$3="",1,('💵 Sales'!$B$4:$B$78&lt;&gt;"")*(YEAR('💵 Sales'!$B$4:$B$78)=$C$3))*IF('💵 Sales'!$E$4:$E$78="",0,'💵 Sales'!$E$4:$E$78)),0)</f>
        <v>0</v>
      </c>
      <c r="J9" s="90">
        <f>IFERROR(SUMPRODUCT((TEXT('💵 Sales'!$B$4:$B$78,"mmm")="Sep")*IF($C$3="",1,('💵 Sales'!$B$4:$B$78&lt;&gt;"")*(YEAR('💵 Sales'!$B$4:$B$78)=$C$3))*IF('💵 Sales'!$E$4:$E$78="",0,'💵 Sales'!$E$4:$E$78)),0)</f>
        <v>0</v>
      </c>
      <c r="K9" s="90">
        <f>IFERROR(SUMPRODUCT((TEXT('💵 Sales'!$B$4:$B$78,"mmm")="Oct")*IF($C$3="",1,('💵 Sales'!$B$4:$B$78&lt;&gt;"")*(YEAR('💵 Sales'!$B$4:$B$78)=$C$3))*IF('💵 Sales'!$E$4:$E$78="",0,'💵 Sales'!$E$4:$E$78)),0)</f>
        <v>0</v>
      </c>
      <c r="L9" s="90">
        <f>IFERROR(SUMPRODUCT((TEXT('💵 Sales'!$B$4:$B$78,"mmm")="Nov")*IF($C$3="",1,('💵 Sales'!$B$4:$B$78&lt;&gt;"")*(YEAR('💵 Sales'!$B$4:$B$78)=$C$3))*IF('💵 Sales'!$E$4:$E$78="",0,'💵 Sales'!$E$4:$E$78)),0)</f>
        <v>0</v>
      </c>
      <c r="M9" s="90">
        <f>IFERROR(SUMPRODUCT((TEXT('💵 Sales'!$B$4:$B$78,"mmm")="Dec")*IF($C$3="",1,('💵 Sales'!$B$4:$B$78&lt;&gt;"")*(YEAR('💵 Sales'!$B$4:$B$78)=$C$3))*IF('💵 Sales'!$E$4:$E$78="",0,'💵 Sales'!$E$4:$E$78)),0)</f>
        <v>0</v>
      </c>
      <c r="N9" s="91">
        <f>SUM(B9:M9)</f>
        <v>70</v>
      </c>
    </row>
    <row r="10" ht="7.5" customHeight="1"/>
    <row r="11" ht="25.5" customHeight="1">
      <c r="A11" s="92" t="s">
        <v>132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</row>
    <row r="12" ht="21.75" customHeight="1">
      <c r="A12" s="61" t="s">
        <v>133</v>
      </c>
      <c r="B12" s="93">
        <f>IFERROR(SUMPRODUCT((TEXT('📦 Purchases'!$B$4:$B$78,"mmm")="Jan")*IF($C$3="",1,('📦 Purchases'!$B$4:$B$78&lt;&gt;"")*(YEAR('📦 Purchases'!$B$4:$B$78)=$C$3))*IF('📦 Purchases'!$G$4:$G$78="",0,'📦 Purchases'!$G$4:$G$78)),0)</f>
        <v>0</v>
      </c>
      <c r="C12" s="93">
        <f>IFERROR(SUMPRODUCT((TEXT('📦 Purchases'!$B$4:$B$78,"mmm")="Feb")*IF($C$3="",1,('📦 Purchases'!$B$4:$B$78&lt;&gt;"")*(YEAR('📦 Purchases'!$B$4:$B$78)=$C$3))*IF('📦 Purchases'!$G$4:$G$78="",0,'📦 Purchases'!$G$4:$G$78)),0)</f>
        <v>0</v>
      </c>
      <c r="D12" s="93">
        <f>IFERROR(SUMPRODUCT((TEXT('📦 Purchases'!$B$4:$B$78,"mmm")="Mar")*IF($C$3="",1,('📦 Purchases'!$B$4:$B$78&lt;&gt;"")*(YEAR('📦 Purchases'!$B$4:$B$78)=$C$3))*IF('📦 Purchases'!$G$4:$G$78="",0,'📦 Purchases'!$G$4:$G$78)),0)</f>
        <v>0</v>
      </c>
      <c r="E12" s="93">
        <f>IFERROR(SUMPRODUCT((TEXT('📦 Purchases'!$B$4:$B$78,"mmm")="Apr")*IF($C$3="",1,('📦 Purchases'!$B$4:$B$78&lt;&gt;"")*(YEAR('📦 Purchases'!$B$4:$B$78)=$C$3))*IF('📦 Purchases'!$G$4:$G$78="",0,'📦 Purchases'!$G$4:$G$78)),0)</f>
        <v>750.11</v>
      </c>
      <c r="F12" s="93">
        <f>IFERROR(SUMPRODUCT((TEXT('📦 Purchases'!$B$4:$B$78,"mmm")="May")*IF($C$3="",1,('📦 Purchases'!$B$4:$B$78&lt;&gt;"")*(YEAR('📦 Purchases'!$B$4:$B$78)=$C$3))*IF('📦 Purchases'!$G$4:$G$78="",0,'📦 Purchases'!$G$4:$G$78)),0)</f>
        <v>554.55</v>
      </c>
      <c r="G12" s="93">
        <f>IFERROR(SUMPRODUCT((TEXT('📦 Purchases'!$B$4:$B$78,"mmm")="Jun")*IF($C$3="",1,('📦 Purchases'!$B$4:$B$78&lt;&gt;"")*(YEAR('📦 Purchases'!$B$4:$B$78)=$C$3))*IF('📦 Purchases'!$G$4:$G$78="",0,'📦 Purchases'!$G$4:$G$78)),0)</f>
        <v>0</v>
      </c>
      <c r="H12" s="93">
        <f>IFERROR(SUMPRODUCT((TEXT('📦 Purchases'!$B$4:$B$78,"mmm")="Jul")*IF($C$3="",1,('📦 Purchases'!$B$4:$B$78&lt;&gt;"")*(YEAR('📦 Purchases'!$B$4:$B$78)=$C$3))*IF('📦 Purchases'!$G$4:$G$78="",0,'📦 Purchases'!$G$4:$G$78)),0)</f>
        <v>0</v>
      </c>
      <c r="I12" s="93">
        <f>IFERROR(SUMPRODUCT((TEXT('📦 Purchases'!$B$4:$B$78,"mmm")="Aug")*IF($C$3="",1,('📦 Purchases'!$B$4:$B$78&lt;&gt;"")*(YEAR('📦 Purchases'!$B$4:$B$78)=$C$3))*IF('📦 Purchases'!$G$4:$G$78="",0,'📦 Purchases'!$G$4:$G$78)),0)</f>
        <v>0</v>
      </c>
      <c r="J12" s="93">
        <f>IFERROR(SUMPRODUCT((TEXT('📦 Purchases'!$B$4:$B$78,"mmm")="Sep")*IF($C$3="",1,('📦 Purchases'!$B$4:$B$78&lt;&gt;"")*(YEAR('📦 Purchases'!$B$4:$B$78)=$C$3))*IF('📦 Purchases'!$G$4:$G$78="",0,'📦 Purchases'!$G$4:$G$78)),0)</f>
        <v>0</v>
      </c>
      <c r="K12" s="93">
        <f>IFERROR(SUMPRODUCT((TEXT('📦 Purchases'!$B$4:$B$78,"mmm")="Oct")*IF($C$3="",1,('📦 Purchases'!$B$4:$B$78&lt;&gt;"")*(YEAR('📦 Purchases'!$B$4:$B$78)=$C$3))*IF('📦 Purchases'!$G$4:$G$78="",0,'📦 Purchases'!$G$4:$G$78)),0)</f>
        <v>0</v>
      </c>
      <c r="L12" s="93">
        <f>IFERROR(SUMPRODUCT((TEXT('📦 Purchases'!$B$4:$B$78,"mmm")="Nov")*IF($C$3="",1,('📦 Purchases'!$B$4:$B$78&lt;&gt;"")*(YEAR('📦 Purchases'!$B$4:$B$78)=$C$3))*IF('📦 Purchases'!$G$4:$G$78="",0,'📦 Purchases'!$G$4:$G$78)),0)</f>
        <v>0</v>
      </c>
      <c r="M12" s="93">
        <f>IFERROR(SUMPRODUCT((TEXT('📦 Purchases'!$B$4:$B$78,"mmm")="Dec")*IF($C$3="",1,('📦 Purchases'!$B$4:$B$78&lt;&gt;"")*(YEAR('📦 Purchases'!$B$4:$B$78)=$C$3))*IF('📦 Purchases'!$G$4:$G$78="",0,'📦 Purchases'!$G$4:$G$78)),0)</f>
        <v>0</v>
      </c>
      <c r="N12" s="94">
        <f>SUM(B12:M12)</f>
        <v>1304.66</v>
      </c>
    </row>
    <row r="13" ht="25.5" customHeight="1">
      <c r="A13" s="95" t="s">
        <v>134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3"/>
    </row>
    <row r="14" ht="21.75" customHeight="1">
      <c r="A14" s="63" t="s">
        <v>135</v>
      </c>
      <c r="B14" s="84">
        <f>IFERROR(SUMPRODUCT((TEXT('💸 Overhead Expenses'!$B$4:$B$78,"mmm")="Jan")*IF($C$3="",1,('💸 Overhead Expenses'!$B$4:$B$78&lt;&gt;"")*(YEAR('💸 Overhead Expenses'!$B$4:$B$78)=$C$3))*IF('💸 Overhead Expenses'!$E$4:$E$78="",0,'💸 Overhead Expenses'!$E$4:$E$78)),0)</f>
        <v>0</v>
      </c>
      <c r="C14" s="84">
        <f>IFERROR(SUMPRODUCT((TEXT('💸 Overhead Expenses'!$B$4:$B$78,"mmm")="Feb")*IF($C$3="",1,('💸 Overhead Expenses'!$B$4:$B$78&lt;&gt;"")*(YEAR('💸 Overhead Expenses'!$B$4:$B$78)=$C$3))*IF('💸 Overhead Expenses'!$E$4:$E$78="",0,'💸 Overhead Expenses'!$E$4:$E$78)),0)</f>
        <v>0</v>
      </c>
      <c r="D14" s="84">
        <f>IFERROR(SUMPRODUCT((TEXT('💸 Overhead Expenses'!$B$4:$B$78,"mmm")="Mar")*IF($C$3="",1,('💸 Overhead Expenses'!$B$4:$B$78&lt;&gt;"")*(YEAR('💸 Overhead Expenses'!$B$4:$B$78)=$C$3))*IF('💸 Overhead Expenses'!$E$4:$E$78="",0,'💸 Overhead Expenses'!$E$4:$E$78)),0)</f>
        <v>0</v>
      </c>
      <c r="E14" s="84">
        <f>IFERROR(SUMPRODUCT((TEXT('💸 Overhead Expenses'!$B$4:$B$78,"mmm")="Apr")*IF($C$3="",1,('💸 Overhead Expenses'!$B$4:$B$78&lt;&gt;"")*(YEAR('💸 Overhead Expenses'!$B$4:$B$78)=$C$3))*IF('💸 Overhead Expenses'!$E$4:$E$78="",0,'💸 Overhead Expenses'!$E$4:$E$78)),0)</f>
        <v>393.02</v>
      </c>
      <c r="F14" s="84">
        <f>IFERROR(SUMPRODUCT((TEXT('💸 Overhead Expenses'!$B$4:$B$78,"mmm")="May")*IF($C$3="",1,('💸 Overhead Expenses'!$B$4:$B$78&lt;&gt;"")*(YEAR('💸 Overhead Expenses'!$B$4:$B$78)=$C$3))*IF('💸 Overhead Expenses'!$E$4:$E$78="",0,'💸 Overhead Expenses'!$E$4:$E$78)),0)</f>
        <v>110</v>
      </c>
      <c r="G14" s="84">
        <f>IFERROR(SUMPRODUCT((TEXT('💸 Overhead Expenses'!$B$4:$B$78,"mmm")="Jun")*IF($C$3="",1,('💸 Overhead Expenses'!$B$4:$B$78&lt;&gt;"")*(YEAR('💸 Overhead Expenses'!$B$4:$B$78)=$C$3))*IF('💸 Overhead Expenses'!$E$4:$E$78="",0,'💸 Overhead Expenses'!$E$4:$E$78)),0)</f>
        <v>0</v>
      </c>
      <c r="H14" s="84">
        <f>IFERROR(SUMPRODUCT((TEXT('💸 Overhead Expenses'!$B$4:$B$78,"mmm")="Jul")*IF($C$3="",1,('💸 Overhead Expenses'!$B$4:$B$78&lt;&gt;"")*(YEAR('💸 Overhead Expenses'!$B$4:$B$78)=$C$3))*IF('💸 Overhead Expenses'!$E$4:$E$78="",0,'💸 Overhead Expenses'!$E$4:$E$78)),0)</f>
        <v>0</v>
      </c>
      <c r="I14" s="84">
        <f>IFERROR(SUMPRODUCT((TEXT('💸 Overhead Expenses'!$B$4:$B$78,"mmm")="Aug")*IF($C$3="",1,('💸 Overhead Expenses'!$B$4:$B$78&lt;&gt;"")*(YEAR('💸 Overhead Expenses'!$B$4:$B$78)=$C$3))*IF('💸 Overhead Expenses'!$E$4:$E$78="",0,'💸 Overhead Expenses'!$E$4:$E$78)),0)</f>
        <v>0</v>
      </c>
      <c r="J14" s="84">
        <f>IFERROR(SUMPRODUCT((TEXT('💸 Overhead Expenses'!$B$4:$B$78,"mmm")="Sep")*IF($C$3="",1,('💸 Overhead Expenses'!$B$4:$B$78&lt;&gt;"")*(YEAR('💸 Overhead Expenses'!$B$4:$B$78)=$C$3))*IF('💸 Overhead Expenses'!$E$4:$E$78="",0,'💸 Overhead Expenses'!$E$4:$E$78)),0)</f>
        <v>0</v>
      </c>
      <c r="K14" s="84">
        <f>IFERROR(SUMPRODUCT((TEXT('💸 Overhead Expenses'!$B$4:$B$78,"mmm")="Oct")*IF($C$3="",1,('💸 Overhead Expenses'!$B$4:$B$78&lt;&gt;"")*(YEAR('💸 Overhead Expenses'!$B$4:$B$78)=$C$3))*IF('💸 Overhead Expenses'!$E$4:$E$78="",0,'💸 Overhead Expenses'!$E$4:$E$78)),0)</f>
        <v>0</v>
      </c>
      <c r="L14" s="84">
        <f>IFERROR(SUMPRODUCT((TEXT('💸 Overhead Expenses'!$B$4:$B$78,"mmm")="Nov")*IF($C$3="",1,('💸 Overhead Expenses'!$B$4:$B$78&lt;&gt;"")*(YEAR('💸 Overhead Expenses'!$B$4:$B$78)=$C$3))*IF('💸 Overhead Expenses'!$E$4:$E$78="",0,'💸 Overhead Expenses'!$E$4:$E$78)),0)</f>
        <v>0</v>
      </c>
      <c r="M14" s="84">
        <f>IFERROR(SUMPRODUCT((TEXT('💸 Overhead Expenses'!$B$4:$B$78,"mmm")="Dec")*IF($C$3="",1,('💸 Overhead Expenses'!$B$4:$B$78&lt;&gt;"")*(YEAR('💸 Overhead Expenses'!$B$4:$B$78)=$C$3))*IF('💸 Overhead Expenses'!$E$4:$E$78="",0,'💸 Overhead Expenses'!$E$4:$E$78)),0)</f>
        <v>0</v>
      </c>
      <c r="N14" s="85">
        <f t="shared" ref="N14:N16" si="4">SUM(B14:M14)</f>
        <v>503.02</v>
      </c>
    </row>
    <row r="15" ht="21.75" customHeight="1">
      <c r="A15" s="59" t="s">
        <v>136</v>
      </c>
      <c r="B15" s="82">
        <f t="shared" ref="B15:M15" si="3">B7-B14</f>
        <v>0</v>
      </c>
      <c r="C15" s="82">
        <f t="shared" si="3"/>
        <v>0</v>
      </c>
      <c r="D15" s="82">
        <f t="shared" si="3"/>
        <v>0</v>
      </c>
      <c r="E15" s="82">
        <f t="shared" si="3"/>
        <v>-34.99</v>
      </c>
      <c r="F15" s="82">
        <f t="shared" si="3"/>
        <v>402.87</v>
      </c>
      <c r="G15" s="82">
        <f t="shared" si="3"/>
        <v>0</v>
      </c>
      <c r="H15" s="82">
        <f t="shared" si="3"/>
        <v>0</v>
      </c>
      <c r="I15" s="82">
        <f t="shared" si="3"/>
        <v>0</v>
      </c>
      <c r="J15" s="82">
        <f t="shared" si="3"/>
        <v>0</v>
      </c>
      <c r="K15" s="82">
        <f t="shared" si="3"/>
        <v>0</v>
      </c>
      <c r="L15" s="82">
        <f t="shared" si="3"/>
        <v>0</v>
      </c>
      <c r="M15" s="82">
        <f t="shared" si="3"/>
        <v>0</v>
      </c>
      <c r="N15" s="83">
        <f t="shared" si="4"/>
        <v>367.88</v>
      </c>
    </row>
    <row r="16" ht="21.75" customHeight="1">
      <c r="A16" s="96" t="s">
        <v>137</v>
      </c>
      <c r="B16" s="97">
        <f t="shared" ref="B16:M16" si="5">B7-B12-B14</f>
        <v>0</v>
      </c>
      <c r="C16" s="97">
        <f t="shared" si="5"/>
        <v>0</v>
      </c>
      <c r="D16" s="97">
        <f t="shared" si="5"/>
        <v>0</v>
      </c>
      <c r="E16" s="97">
        <f t="shared" si="5"/>
        <v>-785.1</v>
      </c>
      <c r="F16" s="97">
        <f t="shared" si="5"/>
        <v>-151.68</v>
      </c>
      <c r="G16" s="97">
        <f t="shared" si="5"/>
        <v>0</v>
      </c>
      <c r="H16" s="97">
        <f t="shared" si="5"/>
        <v>0</v>
      </c>
      <c r="I16" s="97">
        <f t="shared" si="5"/>
        <v>0</v>
      </c>
      <c r="J16" s="97">
        <f t="shared" si="5"/>
        <v>0</v>
      </c>
      <c r="K16" s="97">
        <f t="shared" si="5"/>
        <v>0</v>
      </c>
      <c r="L16" s="97">
        <f t="shared" si="5"/>
        <v>0</v>
      </c>
      <c r="M16" s="97">
        <f t="shared" si="5"/>
        <v>0</v>
      </c>
      <c r="N16" s="98">
        <f t="shared" si="4"/>
        <v>-936.78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N1"/>
    <mergeCell ref="A2:N2"/>
    <mergeCell ref="A3:B3"/>
    <mergeCell ref="D3:N3"/>
    <mergeCell ref="A11:N11"/>
    <mergeCell ref="A13:N1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4212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0"/>
    <col customWidth="1" min="2" max="2" width="13.0"/>
    <col customWidth="1" min="3" max="3" width="26.0"/>
    <col customWidth="1" min="4" max="4" width="18.0"/>
    <col customWidth="1" min="5" max="5" width="14.0"/>
    <col customWidth="1" min="6" max="6" width="16.0"/>
    <col customWidth="1" min="7" max="7" width="12.0"/>
    <col customWidth="1" min="8" max="8" width="28.0"/>
    <col customWidth="1" min="9" max="26" width="8.71"/>
  </cols>
  <sheetData>
    <row r="1" ht="37.5" customHeight="1">
      <c r="A1" s="99" t="s">
        <v>138</v>
      </c>
      <c r="B1" s="2"/>
      <c r="C1" s="2"/>
      <c r="D1" s="2"/>
      <c r="E1" s="2"/>
      <c r="F1" s="2"/>
      <c r="G1" s="2"/>
      <c r="H1" s="3"/>
    </row>
    <row r="2" ht="18.0" customHeight="1">
      <c r="A2" s="100" t="s">
        <v>139</v>
      </c>
      <c r="B2" s="2"/>
      <c r="C2" s="2"/>
      <c r="D2" s="2"/>
      <c r="E2" s="2"/>
      <c r="F2" s="2"/>
      <c r="G2" s="2"/>
      <c r="H2" s="3"/>
    </row>
    <row r="3" ht="24.0" customHeight="1">
      <c r="A3" s="5" t="s">
        <v>1</v>
      </c>
      <c r="B3" s="5" t="s">
        <v>140</v>
      </c>
      <c r="C3" s="101" t="s">
        <v>141</v>
      </c>
      <c r="D3" s="101" t="s">
        <v>4</v>
      </c>
      <c r="E3" s="5" t="s">
        <v>142</v>
      </c>
      <c r="F3" s="101" t="s">
        <v>143</v>
      </c>
      <c r="G3" s="101" t="s">
        <v>144</v>
      </c>
      <c r="H3" s="101" t="s">
        <v>12</v>
      </c>
    </row>
    <row r="4" ht="18.0" customHeight="1">
      <c r="A4" s="7">
        <f t="shared" ref="A4:A78" si="1">IF(B4="","",ROW()-3)</f>
        <v>1</v>
      </c>
      <c r="B4" s="8">
        <v>46126.0</v>
      </c>
      <c r="C4" s="9" t="s">
        <v>38</v>
      </c>
      <c r="D4" s="9" t="s">
        <v>145</v>
      </c>
      <c r="E4" s="11">
        <v>50.0</v>
      </c>
      <c r="F4" s="9" t="s">
        <v>59</v>
      </c>
      <c r="G4" s="49" t="s">
        <v>75</v>
      </c>
      <c r="H4" s="13"/>
    </row>
    <row r="5" ht="18.0" customHeight="1">
      <c r="A5" s="14">
        <f t="shared" si="1"/>
        <v>2</v>
      </c>
      <c r="B5" s="15">
        <v>46142.0</v>
      </c>
      <c r="C5" s="16" t="s">
        <v>146</v>
      </c>
      <c r="D5" s="16" t="s">
        <v>147</v>
      </c>
      <c r="E5" s="18">
        <v>97.12</v>
      </c>
      <c r="F5" s="16" t="s">
        <v>148</v>
      </c>
      <c r="G5" s="50" t="s">
        <v>72</v>
      </c>
      <c r="H5" s="21"/>
    </row>
    <row r="6" ht="18.0" customHeight="1">
      <c r="A6" s="7">
        <f t="shared" si="1"/>
        <v>3</v>
      </c>
      <c r="B6" s="8">
        <v>46142.0</v>
      </c>
      <c r="C6" s="9" t="s">
        <v>149</v>
      </c>
      <c r="D6" s="9" t="s">
        <v>150</v>
      </c>
      <c r="E6" s="11">
        <v>172.45</v>
      </c>
      <c r="F6" s="9" t="s">
        <v>148</v>
      </c>
      <c r="G6" s="49" t="s">
        <v>72</v>
      </c>
      <c r="H6" s="53" t="s">
        <v>151</v>
      </c>
    </row>
    <row r="7" ht="18.0" customHeight="1">
      <c r="A7" s="14">
        <f t="shared" si="1"/>
        <v>4</v>
      </c>
      <c r="B7" s="15">
        <v>46124.0</v>
      </c>
      <c r="C7" s="16" t="s">
        <v>152</v>
      </c>
      <c r="D7" s="16" t="s">
        <v>153</v>
      </c>
      <c r="E7" s="18">
        <v>60.0</v>
      </c>
      <c r="F7" s="16" t="s">
        <v>148</v>
      </c>
      <c r="G7" s="50" t="s">
        <v>75</v>
      </c>
      <c r="H7" s="21"/>
    </row>
    <row r="8" ht="18.0" customHeight="1">
      <c r="A8" s="7">
        <f t="shared" si="1"/>
        <v>5</v>
      </c>
      <c r="B8" s="8">
        <v>46140.0</v>
      </c>
      <c r="C8" s="9" t="s">
        <v>154</v>
      </c>
      <c r="D8" s="9" t="s">
        <v>155</v>
      </c>
      <c r="E8" s="11">
        <v>10.5</v>
      </c>
      <c r="F8" s="9" t="s">
        <v>148</v>
      </c>
      <c r="G8" s="49" t="s">
        <v>75</v>
      </c>
      <c r="H8" s="13"/>
    </row>
    <row r="9" ht="18.0" customHeight="1">
      <c r="A9" s="14">
        <f t="shared" si="1"/>
        <v>6</v>
      </c>
      <c r="B9" s="15">
        <v>46142.0</v>
      </c>
      <c r="C9" s="16" t="s">
        <v>156</v>
      </c>
      <c r="D9" s="16" t="s">
        <v>155</v>
      </c>
      <c r="E9" s="18">
        <v>2.95</v>
      </c>
      <c r="F9" s="16" t="s">
        <v>148</v>
      </c>
      <c r="G9" s="50" t="s">
        <v>75</v>
      </c>
      <c r="H9" s="21"/>
    </row>
    <row r="10" ht="18.0" customHeight="1">
      <c r="A10" s="7">
        <f t="shared" si="1"/>
        <v>7</v>
      </c>
      <c r="B10" s="8">
        <v>46156.0</v>
      </c>
      <c r="C10" s="9" t="s">
        <v>38</v>
      </c>
      <c r="D10" s="9" t="s">
        <v>145</v>
      </c>
      <c r="E10" s="11">
        <v>50.0</v>
      </c>
      <c r="F10" s="9" t="s">
        <v>59</v>
      </c>
      <c r="G10" s="49" t="s">
        <v>75</v>
      </c>
      <c r="H10" s="13"/>
    </row>
    <row r="11" ht="18.0" customHeight="1">
      <c r="A11" s="14">
        <f t="shared" si="1"/>
        <v>8</v>
      </c>
      <c r="B11" s="15">
        <v>46156.0</v>
      </c>
      <c r="C11" s="16" t="s">
        <v>157</v>
      </c>
      <c r="D11" s="16" t="s">
        <v>145</v>
      </c>
      <c r="E11" s="18">
        <v>60.0</v>
      </c>
      <c r="F11" s="16" t="s">
        <v>158</v>
      </c>
      <c r="G11" s="50" t="s">
        <v>75</v>
      </c>
      <c r="H11" s="21"/>
    </row>
    <row r="12" ht="18.0" customHeight="1">
      <c r="A12" s="7" t="str">
        <f t="shared" si="1"/>
        <v/>
      </c>
      <c r="B12" s="23"/>
      <c r="C12" s="31"/>
      <c r="D12" s="31"/>
      <c r="E12" s="26"/>
      <c r="F12" s="31"/>
      <c r="G12" s="54"/>
      <c r="H12" s="13"/>
    </row>
    <row r="13" ht="18.0" customHeight="1">
      <c r="A13" s="14" t="str">
        <f t="shared" si="1"/>
        <v/>
      </c>
      <c r="B13" s="27"/>
      <c r="C13" s="32"/>
      <c r="D13" s="32"/>
      <c r="E13" s="30"/>
      <c r="F13" s="32"/>
      <c r="G13" s="52"/>
      <c r="H13" s="21"/>
    </row>
    <row r="14" ht="18.0" customHeight="1">
      <c r="A14" s="7" t="str">
        <f t="shared" si="1"/>
        <v/>
      </c>
      <c r="B14" s="23"/>
      <c r="C14" s="31"/>
      <c r="D14" s="31"/>
      <c r="E14" s="26"/>
      <c r="F14" s="31"/>
      <c r="G14" s="54"/>
      <c r="H14" s="13"/>
    </row>
    <row r="15" ht="18.0" customHeight="1">
      <c r="A15" s="14" t="str">
        <f t="shared" si="1"/>
        <v/>
      </c>
      <c r="B15" s="27"/>
      <c r="C15" s="32"/>
      <c r="D15" s="32"/>
      <c r="E15" s="30"/>
      <c r="F15" s="32"/>
      <c r="G15" s="52"/>
      <c r="H15" s="21"/>
    </row>
    <row r="16" ht="18.0" customHeight="1">
      <c r="A16" s="7" t="str">
        <f t="shared" si="1"/>
        <v/>
      </c>
      <c r="B16" s="23"/>
      <c r="C16" s="31"/>
      <c r="D16" s="31"/>
      <c r="E16" s="26"/>
      <c r="F16" s="31"/>
      <c r="G16" s="54"/>
      <c r="H16" s="13"/>
    </row>
    <row r="17" ht="18.0" customHeight="1">
      <c r="A17" s="14" t="str">
        <f t="shared" si="1"/>
        <v/>
      </c>
      <c r="B17" s="27"/>
      <c r="C17" s="32"/>
      <c r="D17" s="32"/>
      <c r="E17" s="30"/>
      <c r="F17" s="32"/>
      <c r="G17" s="52"/>
      <c r="H17" s="21"/>
    </row>
    <row r="18" ht="18.0" customHeight="1">
      <c r="A18" s="7" t="str">
        <f t="shared" si="1"/>
        <v/>
      </c>
      <c r="B18" s="23"/>
      <c r="C18" s="31"/>
      <c r="D18" s="31"/>
      <c r="E18" s="26"/>
      <c r="F18" s="31"/>
      <c r="G18" s="54"/>
      <c r="H18" s="13"/>
    </row>
    <row r="19" ht="18.0" customHeight="1">
      <c r="A19" s="14" t="str">
        <f t="shared" si="1"/>
        <v/>
      </c>
      <c r="B19" s="27"/>
      <c r="C19" s="32"/>
      <c r="D19" s="32"/>
      <c r="E19" s="30"/>
      <c r="F19" s="32"/>
      <c r="G19" s="52"/>
      <c r="H19" s="21"/>
    </row>
    <row r="20" ht="18.0" customHeight="1">
      <c r="A20" s="7" t="str">
        <f t="shared" si="1"/>
        <v/>
      </c>
      <c r="B20" s="23"/>
      <c r="C20" s="31"/>
      <c r="D20" s="31"/>
      <c r="E20" s="26"/>
      <c r="F20" s="31"/>
      <c r="G20" s="54"/>
      <c r="H20" s="13"/>
    </row>
    <row r="21" ht="18.0" customHeight="1">
      <c r="A21" s="14" t="str">
        <f t="shared" si="1"/>
        <v/>
      </c>
      <c r="B21" s="27"/>
      <c r="C21" s="32"/>
      <c r="D21" s="32"/>
      <c r="E21" s="30"/>
      <c r="F21" s="32"/>
      <c r="G21" s="52"/>
      <c r="H21" s="21"/>
    </row>
    <row r="22" ht="18.0" customHeight="1">
      <c r="A22" s="7" t="str">
        <f t="shared" si="1"/>
        <v/>
      </c>
      <c r="B22" s="23"/>
      <c r="C22" s="31"/>
      <c r="D22" s="31"/>
      <c r="E22" s="26"/>
      <c r="F22" s="31"/>
      <c r="G22" s="54"/>
      <c r="H22" s="13"/>
    </row>
    <row r="23" ht="18.0" customHeight="1">
      <c r="A23" s="14" t="str">
        <f t="shared" si="1"/>
        <v/>
      </c>
      <c r="B23" s="27"/>
      <c r="C23" s="32"/>
      <c r="D23" s="32"/>
      <c r="E23" s="30"/>
      <c r="F23" s="32"/>
      <c r="G23" s="52"/>
      <c r="H23" s="21"/>
    </row>
    <row r="24" ht="18.0" customHeight="1">
      <c r="A24" s="7" t="str">
        <f t="shared" si="1"/>
        <v/>
      </c>
      <c r="B24" s="23"/>
      <c r="C24" s="31"/>
      <c r="D24" s="31"/>
      <c r="E24" s="26"/>
      <c r="F24" s="31"/>
      <c r="G24" s="54"/>
      <c r="H24" s="13"/>
    </row>
    <row r="25" ht="18.0" customHeight="1">
      <c r="A25" s="14" t="str">
        <f t="shared" si="1"/>
        <v/>
      </c>
      <c r="B25" s="27"/>
      <c r="C25" s="32"/>
      <c r="D25" s="32"/>
      <c r="E25" s="30"/>
      <c r="F25" s="32"/>
      <c r="G25" s="52"/>
      <c r="H25" s="21"/>
    </row>
    <row r="26" ht="18.0" customHeight="1">
      <c r="A26" s="7" t="str">
        <f t="shared" si="1"/>
        <v/>
      </c>
      <c r="B26" s="23"/>
      <c r="C26" s="31"/>
      <c r="D26" s="31"/>
      <c r="E26" s="26"/>
      <c r="F26" s="31"/>
      <c r="G26" s="54"/>
      <c r="H26" s="13"/>
    </row>
    <row r="27" ht="18.0" customHeight="1">
      <c r="A27" s="14" t="str">
        <f t="shared" si="1"/>
        <v/>
      </c>
      <c r="B27" s="27"/>
      <c r="C27" s="32"/>
      <c r="D27" s="32"/>
      <c r="E27" s="30"/>
      <c r="F27" s="32"/>
      <c r="G27" s="52"/>
      <c r="H27" s="21"/>
    </row>
    <row r="28" ht="18.0" customHeight="1">
      <c r="A28" s="7" t="str">
        <f t="shared" si="1"/>
        <v/>
      </c>
      <c r="B28" s="23"/>
      <c r="C28" s="31"/>
      <c r="D28" s="31"/>
      <c r="E28" s="26"/>
      <c r="F28" s="31"/>
      <c r="G28" s="54"/>
      <c r="H28" s="13"/>
    </row>
    <row r="29" ht="18.0" customHeight="1">
      <c r="A29" s="14" t="str">
        <f t="shared" si="1"/>
        <v/>
      </c>
      <c r="B29" s="27"/>
      <c r="C29" s="32"/>
      <c r="D29" s="32"/>
      <c r="E29" s="30"/>
      <c r="F29" s="32"/>
      <c r="G29" s="52"/>
      <c r="H29" s="21"/>
    </row>
    <row r="30" ht="18.0" customHeight="1">
      <c r="A30" s="7" t="str">
        <f t="shared" si="1"/>
        <v/>
      </c>
      <c r="B30" s="23"/>
      <c r="C30" s="31"/>
      <c r="D30" s="31"/>
      <c r="E30" s="26"/>
      <c r="F30" s="31"/>
      <c r="G30" s="54"/>
      <c r="H30" s="13"/>
    </row>
    <row r="31" ht="18.0" customHeight="1">
      <c r="A31" s="14" t="str">
        <f t="shared" si="1"/>
        <v/>
      </c>
      <c r="B31" s="27"/>
      <c r="C31" s="32"/>
      <c r="D31" s="32"/>
      <c r="E31" s="30"/>
      <c r="F31" s="32"/>
      <c r="G31" s="52"/>
      <c r="H31" s="21"/>
    </row>
    <row r="32" ht="18.0" customHeight="1">
      <c r="A32" s="7" t="str">
        <f t="shared" si="1"/>
        <v/>
      </c>
      <c r="B32" s="23"/>
      <c r="C32" s="31"/>
      <c r="D32" s="31"/>
      <c r="E32" s="26"/>
      <c r="F32" s="31"/>
      <c r="G32" s="54"/>
      <c r="H32" s="13"/>
    </row>
    <row r="33" ht="18.0" customHeight="1">
      <c r="A33" s="14" t="str">
        <f t="shared" si="1"/>
        <v/>
      </c>
      <c r="B33" s="27"/>
      <c r="C33" s="32"/>
      <c r="D33" s="32"/>
      <c r="E33" s="30"/>
      <c r="F33" s="32"/>
      <c r="G33" s="52"/>
      <c r="H33" s="21"/>
    </row>
    <row r="34" ht="18.0" customHeight="1">
      <c r="A34" s="7" t="str">
        <f t="shared" si="1"/>
        <v/>
      </c>
      <c r="B34" s="23"/>
      <c r="C34" s="31"/>
      <c r="D34" s="31"/>
      <c r="E34" s="26"/>
      <c r="F34" s="31"/>
      <c r="G34" s="54"/>
      <c r="H34" s="13"/>
    </row>
    <row r="35" ht="18.0" customHeight="1">
      <c r="A35" s="14" t="str">
        <f t="shared" si="1"/>
        <v/>
      </c>
      <c r="B35" s="27"/>
      <c r="C35" s="32"/>
      <c r="D35" s="32"/>
      <c r="E35" s="30"/>
      <c r="F35" s="32"/>
      <c r="G35" s="52"/>
      <c r="H35" s="21"/>
    </row>
    <row r="36" ht="18.0" customHeight="1">
      <c r="A36" s="7" t="str">
        <f t="shared" si="1"/>
        <v/>
      </c>
      <c r="B36" s="23"/>
      <c r="C36" s="31"/>
      <c r="D36" s="31"/>
      <c r="E36" s="26"/>
      <c r="F36" s="31"/>
      <c r="G36" s="54"/>
      <c r="H36" s="13"/>
    </row>
    <row r="37" ht="18.0" customHeight="1">
      <c r="A37" s="14" t="str">
        <f t="shared" si="1"/>
        <v/>
      </c>
      <c r="B37" s="27"/>
      <c r="C37" s="32"/>
      <c r="D37" s="32"/>
      <c r="E37" s="30"/>
      <c r="F37" s="32"/>
      <c r="G37" s="52"/>
      <c r="H37" s="21"/>
    </row>
    <row r="38" ht="18.0" customHeight="1">
      <c r="A38" s="7" t="str">
        <f t="shared" si="1"/>
        <v/>
      </c>
      <c r="B38" s="23"/>
      <c r="C38" s="31"/>
      <c r="D38" s="31"/>
      <c r="E38" s="26"/>
      <c r="F38" s="31"/>
      <c r="G38" s="54"/>
      <c r="H38" s="13"/>
    </row>
    <row r="39" ht="18.0" customHeight="1">
      <c r="A39" s="14" t="str">
        <f t="shared" si="1"/>
        <v/>
      </c>
      <c r="B39" s="27"/>
      <c r="C39" s="32"/>
      <c r="D39" s="32"/>
      <c r="E39" s="30"/>
      <c r="F39" s="32"/>
      <c r="G39" s="52"/>
      <c r="H39" s="21"/>
    </row>
    <row r="40" ht="18.0" customHeight="1">
      <c r="A40" s="7" t="str">
        <f t="shared" si="1"/>
        <v/>
      </c>
      <c r="B40" s="23"/>
      <c r="C40" s="31"/>
      <c r="D40" s="31"/>
      <c r="E40" s="26"/>
      <c r="F40" s="31"/>
      <c r="G40" s="54"/>
      <c r="H40" s="13"/>
    </row>
    <row r="41" ht="18.0" customHeight="1">
      <c r="A41" s="14" t="str">
        <f t="shared" si="1"/>
        <v/>
      </c>
      <c r="B41" s="27"/>
      <c r="C41" s="32"/>
      <c r="D41" s="32"/>
      <c r="E41" s="30"/>
      <c r="F41" s="32"/>
      <c r="G41" s="52"/>
      <c r="H41" s="21"/>
    </row>
    <row r="42" ht="18.0" customHeight="1">
      <c r="A42" s="7" t="str">
        <f t="shared" si="1"/>
        <v/>
      </c>
      <c r="B42" s="23"/>
      <c r="C42" s="31"/>
      <c r="D42" s="31"/>
      <c r="E42" s="26"/>
      <c r="F42" s="31"/>
      <c r="G42" s="54"/>
      <c r="H42" s="13"/>
    </row>
    <row r="43" ht="18.0" customHeight="1">
      <c r="A43" s="14" t="str">
        <f t="shared" si="1"/>
        <v/>
      </c>
      <c r="B43" s="27"/>
      <c r="C43" s="32"/>
      <c r="D43" s="32"/>
      <c r="E43" s="30"/>
      <c r="F43" s="32"/>
      <c r="G43" s="52"/>
      <c r="H43" s="21"/>
    </row>
    <row r="44" ht="18.0" customHeight="1">
      <c r="A44" s="7" t="str">
        <f t="shared" si="1"/>
        <v/>
      </c>
      <c r="B44" s="23"/>
      <c r="C44" s="31"/>
      <c r="D44" s="31"/>
      <c r="E44" s="26"/>
      <c r="F44" s="31"/>
      <c r="G44" s="54"/>
      <c r="H44" s="13"/>
    </row>
    <row r="45" ht="18.0" customHeight="1">
      <c r="A45" s="14" t="str">
        <f t="shared" si="1"/>
        <v/>
      </c>
      <c r="B45" s="27"/>
      <c r="C45" s="32"/>
      <c r="D45" s="32"/>
      <c r="E45" s="30"/>
      <c r="F45" s="32"/>
      <c r="G45" s="52"/>
      <c r="H45" s="21"/>
    </row>
    <row r="46" ht="18.0" customHeight="1">
      <c r="A46" s="7" t="str">
        <f t="shared" si="1"/>
        <v/>
      </c>
      <c r="B46" s="23"/>
      <c r="C46" s="31"/>
      <c r="D46" s="31"/>
      <c r="E46" s="26"/>
      <c r="F46" s="31"/>
      <c r="G46" s="54"/>
      <c r="H46" s="13"/>
    </row>
    <row r="47" ht="18.0" customHeight="1">
      <c r="A47" s="14" t="str">
        <f t="shared" si="1"/>
        <v/>
      </c>
      <c r="B47" s="27"/>
      <c r="C47" s="32"/>
      <c r="D47" s="32"/>
      <c r="E47" s="30"/>
      <c r="F47" s="32"/>
      <c r="G47" s="52"/>
      <c r="H47" s="21"/>
    </row>
    <row r="48" ht="18.0" customHeight="1">
      <c r="A48" s="7" t="str">
        <f t="shared" si="1"/>
        <v/>
      </c>
      <c r="B48" s="23"/>
      <c r="C48" s="31"/>
      <c r="D48" s="31"/>
      <c r="E48" s="26"/>
      <c r="F48" s="31"/>
      <c r="G48" s="54"/>
      <c r="H48" s="13"/>
    </row>
    <row r="49" ht="18.0" customHeight="1">
      <c r="A49" s="14" t="str">
        <f t="shared" si="1"/>
        <v/>
      </c>
      <c r="B49" s="27"/>
      <c r="C49" s="32"/>
      <c r="D49" s="32"/>
      <c r="E49" s="30"/>
      <c r="F49" s="32"/>
      <c r="G49" s="52"/>
      <c r="H49" s="21"/>
    </row>
    <row r="50" ht="18.0" customHeight="1">
      <c r="A50" s="7" t="str">
        <f t="shared" si="1"/>
        <v/>
      </c>
      <c r="B50" s="23"/>
      <c r="C50" s="31"/>
      <c r="D50" s="31"/>
      <c r="E50" s="26"/>
      <c r="F50" s="31"/>
      <c r="G50" s="54"/>
      <c r="H50" s="13"/>
    </row>
    <row r="51" ht="18.0" customHeight="1">
      <c r="A51" s="14" t="str">
        <f t="shared" si="1"/>
        <v/>
      </c>
      <c r="B51" s="27"/>
      <c r="C51" s="32"/>
      <c r="D51" s="32"/>
      <c r="E51" s="30"/>
      <c r="F51" s="32"/>
      <c r="G51" s="52"/>
      <c r="H51" s="21"/>
    </row>
    <row r="52" ht="18.0" customHeight="1">
      <c r="A52" s="7" t="str">
        <f t="shared" si="1"/>
        <v/>
      </c>
      <c r="B52" s="23"/>
      <c r="C52" s="31"/>
      <c r="D52" s="31"/>
      <c r="E52" s="26"/>
      <c r="F52" s="31"/>
      <c r="G52" s="54"/>
      <c r="H52" s="13"/>
    </row>
    <row r="53" ht="18.0" customHeight="1">
      <c r="A53" s="14" t="str">
        <f t="shared" si="1"/>
        <v/>
      </c>
      <c r="B53" s="27"/>
      <c r="C53" s="32"/>
      <c r="D53" s="32"/>
      <c r="E53" s="30"/>
      <c r="F53" s="32"/>
      <c r="G53" s="52"/>
      <c r="H53" s="21"/>
    </row>
    <row r="54" ht="18.0" customHeight="1">
      <c r="A54" s="7" t="str">
        <f t="shared" si="1"/>
        <v/>
      </c>
      <c r="B54" s="23"/>
      <c r="C54" s="31"/>
      <c r="D54" s="31"/>
      <c r="E54" s="26"/>
      <c r="F54" s="31"/>
      <c r="G54" s="54"/>
      <c r="H54" s="13"/>
    </row>
    <row r="55" ht="18.0" customHeight="1">
      <c r="A55" s="14" t="str">
        <f t="shared" si="1"/>
        <v/>
      </c>
      <c r="B55" s="27"/>
      <c r="C55" s="32"/>
      <c r="D55" s="32"/>
      <c r="E55" s="30"/>
      <c r="F55" s="32"/>
      <c r="G55" s="52"/>
      <c r="H55" s="21"/>
    </row>
    <row r="56" ht="18.0" customHeight="1">
      <c r="A56" s="7" t="str">
        <f t="shared" si="1"/>
        <v/>
      </c>
      <c r="B56" s="23"/>
      <c r="C56" s="31"/>
      <c r="D56" s="31"/>
      <c r="E56" s="26"/>
      <c r="F56" s="31"/>
      <c r="G56" s="54"/>
      <c r="H56" s="13"/>
    </row>
    <row r="57" ht="18.0" customHeight="1">
      <c r="A57" s="14" t="str">
        <f t="shared" si="1"/>
        <v/>
      </c>
      <c r="B57" s="27"/>
      <c r="C57" s="32"/>
      <c r="D57" s="32"/>
      <c r="E57" s="30"/>
      <c r="F57" s="32"/>
      <c r="G57" s="52"/>
      <c r="H57" s="21"/>
    </row>
    <row r="58" ht="18.0" customHeight="1">
      <c r="A58" s="7" t="str">
        <f t="shared" si="1"/>
        <v/>
      </c>
      <c r="B58" s="23"/>
      <c r="C58" s="31"/>
      <c r="D58" s="31"/>
      <c r="E58" s="26"/>
      <c r="F58" s="31"/>
      <c r="G58" s="54"/>
      <c r="H58" s="13"/>
    </row>
    <row r="59" ht="18.0" customHeight="1">
      <c r="A59" s="14" t="str">
        <f t="shared" si="1"/>
        <v/>
      </c>
      <c r="B59" s="27"/>
      <c r="C59" s="32"/>
      <c r="D59" s="32"/>
      <c r="E59" s="30"/>
      <c r="F59" s="32"/>
      <c r="G59" s="52"/>
      <c r="H59" s="21"/>
    </row>
    <row r="60" ht="18.0" customHeight="1">
      <c r="A60" s="7" t="str">
        <f t="shared" si="1"/>
        <v/>
      </c>
      <c r="B60" s="23"/>
      <c r="C60" s="31"/>
      <c r="D60" s="31"/>
      <c r="E60" s="26"/>
      <c r="F60" s="31"/>
      <c r="G60" s="54"/>
      <c r="H60" s="13"/>
    </row>
    <row r="61" ht="18.0" customHeight="1">
      <c r="A61" s="14" t="str">
        <f t="shared" si="1"/>
        <v/>
      </c>
      <c r="B61" s="27"/>
      <c r="C61" s="32"/>
      <c r="D61" s="32"/>
      <c r="E61" s="30"/>
      <c r="F61" s="32"/>
      <c r="G61" s="52"/>
      <c r="H61" s="21"/>
    </row>
    <row r="62" ht="18.0" customHeight="1">
      <c r="A62" s="7" t="str">
        <f t="shared" si="1"/>
        <v/>
      </c>
      <c r="B62" s="23"/>
      <c r="C62" s="31"/>
      <c r="D62" s="31"/>
      <c r="E62" s="26"/>
      <c r="F62" s="31"/>
      <c r="G62" s="54"/>
      <c r="H62" s="13"/>
    </row>
    <row r="63" ht="18.0" customHeight="1">
      <c r="A63" s="14" t="str">
        <f t="shared" si="1"/>
        <v/>
      </c>
      <c r="B63" s="27"/>
      <c r="C63" s="32"/>
      <c r="D63" s="32"/>
      <c r="E63" s="30"/>
      <c r="F63" s="32"/>
      <c r="G63" s="52"/>
      <c r="H63" s="21"/>
    </row>
    <row r="64" ht="18.0" customHeight="1">
      <c r="A64" s="7" t="str">
        <f t="shared" si="1"/>
        <v/>
      </c>
      <c r="B64" s="23"/>
      <c r="C64" s="31"/>
      <c r="D64" s="31"/>
      <c r="E64" s="26"/>
      <c r="F64" s="31"/>
      <c r="G64" s="54"/>
      <c r="H64" s="13"/>
    </row>
    <row r="65" ht="18.0" customHeight="1">
      <c r="A65" s="14" t="str">
        <f t="shared" si="1"/>
        <v/>
      </c>
      <c r="B65" s="27"/>
      <c r="C65" s="32"/>
      <c r="D65" s="32"/>
      <c r="E65" s="30"/>
      <c r="F65" s="32"/>
      <c r="G65" s="52"/>
      <c r="H65" s="21"/>
    </row>
    <row r="66" ht="18.0" customHeight="1">
      <c r="A66" s="7" t="str">
        <f t="shared" si="1"/>
        <v/>
      </c>
      <c r="B66" s="23"/>
      <c r="C66" s="31"/>
      <c r="D66" s="31"/>
      <c r="E66" s="26"/>
      <c r="F66" s="31"/>
      <c r="G66" s="54"/>
      <c r="H66" s="13"/>
    </row>
    <row r="67" ht="18.0" customHeight="1">
      <c r="A67" s="14" t="str">
        <f t="shared" si="1"/>
        <v/>
      </c>
      <c r="B67" s="27"/>
      <c r="C67" s="32"/>
      <c r="D67" s="32"/>
      <c r="E67" s="30"/>
      <c r="F67" s="32"/>
      <c r="G67" s="52"/>
      <c r="H67" s="21"/>
    </row>
    <row r="68" ht="18.0" customHeight="1">
      <c r="A68" s="7" t="str">
        <f t="shared" si="1"/>
        <v/>
      </c>
      <c r="B68" s="23"/>
      <c r="C68" s="31"/>
      <c r="D68" s="31"/>
      <c r="E68" s="26"/>
      <c r="F68" s="31"/>
      <c r="G68" s="54"/>
      <c r="H68" s="13"/>
    </row>
    <row r="69" ht="18.0" customHeight="1">
      <c r="A69" s="14" t="str">
        <f t="shared" si="1"/>
        <v/>
      </c>
      <c r="B69" s="27"/>
      <c r="C69" s="32"/>
      <c r="D69" s="32"/>
      <c r="E69" s="30"/>
      <c r="F69" s="32"/>
      <c r="G69" s="52"/>
      <c r="H69" s="21"/>
    </row>
    <row r="70" ht="18.0" customHeight="1">
      <c r="A70" s="7" t="str">
        <f t="shared" si="1"/>
        <v/>
      </c>
      <c r="B70" s="23"/>
      <c r="C70" s="31"/>
      <c r="D70" s="31"/>
      <c r="E70" s="26"/>
      <c r="F70" s="31"/>
      <c r="G70" s="54"/>
      <c r="H70" s="13"/>
    </row>
    <row r="71" ht="18.0" customHeight="1">
      <c r="A71" s="14" t="str">
        <f t="shared" si="1"/>
        <v/>
      </c>
      <c r="B71" s="27"/>
      <c r="C71" s="32"/>
      <c r="D71" s="32"/>
      <c r="E71" s="30"/>
      <c r="F71" s="32"/>
      <c r="G71" s="52"/>
      <c r="H71" s="21"/>
    </row>
    <row r="72" ht="18.0" customHeight="1">
      <c r="A72" s="7" t="str">
        <f t="shared" si="1"/>
        <v/>
      </c>
      <c r="B72" s="23"/>
      <c r="C72" s="31"/>
      <c r="D72" s="31"/>
      <c r="E72" s="26"/>
      <c r="F72" s="31"/>
      <c r="G72" s="54"/>
      <c r="H72" s="13"/>
    </row>
    <row r="73" ht="18.0" customHeight="1">
      <c r="A73" s="14" t="str">
        <f t="shared" si="1"/>
        <v/>
      </c>
      <c r="B73" s="27"/>
      <c r="C73" s="32"/>
      <c r="D73" s="32"/>
      <c r="E73" s="30"/>
      <c r="F73" s="32"/>
      <c r="G73" s="52"/>
      <c r="H73" s="21"/>
    </row>
    <row r="74" ht="18.0" customHeight="1">
      <c r="A74" s="7" t="str">
        <f t="shared" si="1"/>
        <v/>
      </c>
      <c r="B74" s="23"/>
      <c r="C74" s="31"/>
      <c r="D74" s="31"/>
      <c r="E74" s="26"/>
      <c r="F74" s="31"/>
      <c r="G74" s="54"/>
      <c r="H74" s="13"/>
    </row>
    <row r="75" ht="18.0" customHeight="1">
      <c r="A75" s="14" t="str">
        <f t="shared" si="1"/>
        <v/>
      </c>
      <c r="B75" s="27"/>
      <c r="C75" s="32"/>
      <c r="D75" s="32"/>
      <c r="E75" s="30"/>
      <c r="F75" s="32"/>
      <c r="G75" s="52"/>
      <c r="H75" s="21"/>
    </row>
    <row r="76" ht="18.0" customHeight="1">
      <c r="A76" s="7" t="str">
        <f t="shared" si="1"/>
        <v/>
      </c>
      <c r="B76" s="23"/>
      <c r="C76" s="31"/>
      <c r="D76" s="31"/>
      <c r="E76" s="26"/>
      <c r="F76" s="31"/>
      <c r="G76" s="54"/>
      <c r="H76" s="13"/>
    </row>
    <row r="77" ht="18.0" customHeight="1">
      <c r="A77" s="14" t="str">
        <f t="shared" si="1"/>
        <v/>
      </c>
      <c r="B77" s="27"/>
      <c r="C77" s="32"/>
      <c r="D77" s="32"/>
      <c r="E77" s="30"/>
      <c r="F77" s="32"/>
      <c r="G77" s="52"/>
      <c r="H77" s="21"/>
    </row>
    <row r="78" ht="18.0" customHeight="1">
      <c r="A78" s="7" t="str">
        <f t="shared" si="1"/>
        <v/>
      </c>
      <c r="B78" s="23"/>
      <c r="C78" s="31"/>
      <c r="D78" s="31"/>
      <c r="E78" s="26"/>
      <c r="F78" s="31"/>
      <c r="G78" s="54"/>
      <c r="H78" s="13"/>
    </row>
    <row r="79" ht="24.0" customHeight="1">
      <c r="A79" s="102" t="s">
        <v>159</v>
      </c>
      <c r="B79" s="2"/>
      <c r="C79" s="2"/>
      <c r="D79" s="3"/>
      <c r="E79" s="103">
        <f>SUM(E4:E78)</f>
        <v>503.02</v>
      </c>
      <c r="F79" s="104"/>
      <c r="G79" s="104"/>
      <c r="H79" s="104"/>
    </row>
    <row r="80" ht="15.75" customHeight="1"/>
    <row r="81" ht="15.75" customHeight="1">
      <c r="A81" s="105" t="s">
        <v>160</v>
      </c>
      <c r="B81" s="2"/>
      <c r="C81" s="2"/>
      <c r="D81" s="2"/>
      <c r="E81" s="2"/>
      <c r="F81" s="2"/>
      <c r="G81" s="2"/>
      <c r="H81" s="3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A2:H2"/>
    <mergeCell ref="A79:D79"/>
    <mergeCell ref="A81:H81"/>
  </mergeCells>
  <printOptions/>
  <pageMargins bottom="1.0" footer="0.0" header="0.0" left="0.75" right="0.75" top="1.0"/>
  <pageSetup orientation="landscape"/>
  <drawing r:id="rId1"/>
</worksheet>
</file>